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KuSRGT/7AERrTkEQ1KVl2nR11DH2buHdKTdimXqhZrXBsWaLfO6OErW7McL40aNc4v60DAQR/Ub55IizQtZPVQ==" workbookSaltValue="r4L7Eyxal7mw980UZQrk2Q==" workbookSpinCount="100000"/>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補助事業計画書②" sheetId="1" state="visible" r:id="rId1"/>
    <sheet xmlns:r="http://schemas.openxmlformats.org/officeDocument/2006/relationships" name="ExpenseCategoryList" sheetId="2" state="hidden" r:id="rId2"/>
  </sheets>
  <definedNames>
    <definedName name="_Hlk3285324" localSheetId="0">補助事業計画書②!$A$26</definedName>
    <definedName name="_xlnm.Print_Area" localSheetId="0">'補助事業計画書②'!$A$1:$AK$43</definedName>
  </definedNames>
  <calcPr calcId="191028" fullCalcOnLoad="1"/>
</workbook>
</file>

<file path=xl/styles.xml><?xml version="1.0" encoding="utf-8"?>
<styleSheet xmlns="http://schemas.openxmlformats.org/spreadsheetml/2006/main">
  <numFmts count="8">
    <numFmt numFmtId="164" formatCode="#,##0_);\(#,##0\)"/>
    <numFmt numFmtId="165" formatCode="#,##0_ "/>
    <numFmt numFmtId="166" formatCode="#,##0_);[Red]\(#,##0\)"/>
    <numFmt numFmtId="167" formatCode="0_);[Red]\(0\)"/>
    <numFmt numFmtId="168" formatCode="0.00_ "/>
    <numFmt numFmtId="169" formatCode="#,##0.000_);[Red]\(#,##0.000\)"/>
    <numFmt numFmtId="170" formatCode="#,##0.000_ ;[Red]\-#,##0.000\ "/>
    <numFmt numFmtId="171" formatCode="#,##0&quot;円&quot;"/>
  </numFmts>
  <fonts count="42">
    <font>
      <name val="ＭＳ Ｐゴシック"/>
      <charset val="128"/>
      <family val="2"/>
      <color theme="1"/>
      <sz val="11"/>
      <scheme val="minor"/>
    </font>
    <font>
      <name val="ＭＳ 明朝"/>
      <charset val="128"/>
      <family val="1"/>
      <color rgb="FF000000"/>
      <sz val="12"/>
    </font>
    <font>
      <name val="ＭＳ ゴシック"/>
      <charset val="128"/>
      <family val="3"/>
      <color rgb="FF000000"/>
      <sz val="12"/>
    </font>
    <font>
      <name val="ＭＳ ゴシック"/>
      <charset val="128"/>
      <family val="3"/>
      <color rgb="FF000000"/>
      <sz val="11"/>
      <u val="single"/>
    </font>
    <font>
      <name val="ＭＳ ゴシック"/>
      <charset val="128"/>
      <family val="3"/>
      <color rgb="FF000000"/>
      <sz val="11"/>
    </font>
    <font>
      <name val="ＭＳ ゴシック"/>
      <charset val="128"/>
      <family val="3"/>
      <color rgb="FF000000"/>
      <sz val="8"/>
    </font>
    <font>
      <name val="ＭＳ 明朝"/>
      <charset val="128"/>
      <family val="1"/>
      <color rgb="FF000000"/>
      <sz val="10.5"/>
    </font>
    <font>
      <name val="ＭＳ 明朝"/>
      <charset val="128"/>
      <family val="1"/>
      <color rgb="FF000000"/>
      <sz val="8"/>
    </font>
    <font>
      <name val="ＭＳ ゴシック"/>
      <charset val="128"/>
      <family val="3"/>
      <color rgb="FF000000"/>
      <sz val="10.5"/>
    </font>
    <font>
      <name val="ＭＳ 明朝"/>
      <charset val="128"/>
      <family val="1"/>
      <b val="1"/>
      <color rgb="FF000000"/>
      <sz val="11"/>
    </font>
    <font>
      <name val="ＭＳ Ｐゴシック"/>
      <charset val="128"/>
      <family val="2"/>
      <sz val="6"/>
      <scheme val="minor"/>
    </font>
    <font>
      <name val="ＭＳ Ｐゴシック"/>
      <charset val="128"/>
      <family val="3"/>
      <color theme="1"/>
      <sz val="11"/>
      <scheme val="minor"/>
    </font>
    <font>
      <name val="ＭＳ 明朝"/>
      <charset val="128"/>
      <family val="1"/>
      <color theme="1"/>
      <sz val="10.5"/>
    </font>
    <font>
      <name val="ＭＳ Ｐゴシック"/>
      <charset val="128"/>
      <family val="3"/>
      <b val="1"/>
      <color rgb="FFFF0000"/>
      <sz val="11"/>
      <scheme val="minor"/>
    </font>
    <font>
      <name val="ＭＳ 明朝"/>
      <charset val="128"/>
      <family val="1"/>
      <b val="1"/>
      <color rgb="FFFF0000"/>
      <sz val="8"/>
      <u val="single"/>
    </font>
    <font>
      <name val="ＭＳ ゴシック"/>
      <charset val="128"/>
      <family val="3"/>
      <color rgb="FFFF0000"/>
      <sz val="11"/>
    </font>
    <font>
      <name val="ＭＳ 明朝"/>
      <charset val="128"/>
      <family val="1"/>
      <sz val="8"/>
    </font>
    <font>
      <name val="ＭＳ Ｐゴシック"/>
      <charset val="128"/>
      <family val="2"/>
      <color theme="1"/>
      <sz val="11"/>
      <scheme val="minor"/>
    </font>
    <font>
      <name val="ＭＳ Ｐゴシック"/>
      <charset val="128"/>
      <family val="3"/>
      <sz val="6"/>
    </font>
    <font>
      <name val="ＭＳ ゴシック"/>
      <charset val="128"/>
      <family val="3"/>
      <b val="1"/>
      <sz val="11"/>
    </font>
    <font>
      <name val="ＭＳ Ｐゴシック"/>
      <charset val="128"/>
      <family val="2"/>
      <sz val="11"/>
      <scheme val="minor"/>
    </font>
    <font>
      <name val="ＭＳ Ｐゴシック"/>
      <charset val="128"/>
      <family val="2"/>
      <b val="1"/>
      <sz val="11"/>
      <scheme val="minor"/>
    </font>
    <font>
      <name val="ＭＳ Ｐゴシック"/>
      <charset val="128"/>
      <family val="3"/>
      <b val="1"/>
      <sz val="11"/>
      <scheme val="minor"/>
    </font>
    <font>
      <name val="ＭＳ Ｐゴシック"/>
      <charset val="128"/>
      <family val="3"/>
      <b val="1"/>
      <color theme="1"/>
      <sz val="11"/>
      <scheme val="minor"/>
    </font>
    <font>
      <name val="ＭＳ ゴシック"/>
      <charset val="128"/>
      <family val="3"/>
      <b val="1"/>
      <sz val="14"/>
    </font>
    <font>
      <name val="ＭＳ Ｐゴシック"/>
      <charset val="128"/>
      <family val="2"/>
      <color theme="1"/>
      <sz val="10"/>
      <scheme val="minor"/>
    </font>
    <font>
      <name val="ＭＳ Ｐゴシック"/>
      <charset val="128"/>
      <family val="2"/>
      <sz val="10"/>
      <scheme val="minor"/>
    </font>
    <font>
      <name val="ＭＳ Ｐゴシック"/>
      <charset val="128"/>
      <family val="2"/>
      <color rgb="FFFF0000"/>
      <sz val="11"/>
      <scheme val="minor"/>
    </font>
    <font>
      <name val="ＭＳ ゴシック"/>
      <charset val="128"/>
      <family val="3"/>
      <color rgb="FFFF0000"/>
      <sz val="14"/>
    </font>
    <font>
      <name val="ＭＳ Ｐゴシック"/>
      <charset val="128"/>
      <family val="2"/>
      <color theme="2" tint="-0.09997863704336681"/>
      <sz val="11"/>
      <scheme val="minor"/>
    </font>
    <font>
      <name val="ＭＳ Ｐゴシック"/>
      <charset val="128"/>
      <family val="3"/>
      <b val="1"/>
      <color rgb="FFFF0000"/>
      <sz val="14"/>
      <scheme val="minor"/>
    </font>
    <font>
      <name val="ＭＳ ゴシック"/>
      <charset val="128"/>
      <family val="3"/>
      <color rgb="FFFF0000"/>
      <sz val="8"/>
    </font>
    <font>
      <name val="ＭＳ Ｐゴシック"/>
      <charset val="128"/>
      <family val="2"/>
      <color rgb="FF00B050"/>
      <sz val="11"/>
      <scheme val="minor"/>
    </font>
    <font>
      <name val="BIZ UDP明朝 Medium"/>
      <charset val="128"/>
      <family val="1"/>
      <b val="1"/>
      <color theme="1"/>
      <sz val="14"/>
    </font>
    <font>
      <name val="ＭＳ ゴシック"/>
      <charset val="128"/>
      <family val="3"/>
      <b val="1"/>
      <color rgb="FFFF0000"/>
      <sz val="12"/>
    </font>
    <font>
      <name val="ＭＳ ゴシック"/>
      <charset val="128"/>
      <family val="3"/>
      <b val="1"/>
      <color rgb="FFFFFF00"/>
      <sz val="12"/>
    </font>
    <font>
      <name val="ＭＳ Ｐゴシック"/>
      <charset val="128"/>
      <family val="3"/>
      <b val="1"/>
      <color rgb="FFFF0000"/>
      <sz val="12"/>
      <scheme val="minor"/>
    </font>
    <font>
      <name val="ＭＳ Ｐゴシック"/>
      <charset val="128"/>
      <family val="3"/>
      <color theme="0"/>
      <sz val="11"/>
      <scheme val="minor"/>
    </font>
    <font>
      <name val="ＭＳ Ｐゴシック"/>
      <charset val="128"/>
      <family val="3"/>
      <b val="1"/>
      <color theme="0"/>
      <sz val="11"/>
      <scheme val="minor"/>
    </font>
    <font>
      <name val="ＭＳ Ｐゴシック"/>
      <charset val="128"/>
      <family val="2"/>
      <color theme="0"/>
      <sz val="11"/>
      <scheme val="minor"/>
    </font>
    <font>
      <name val="ＭＳ ゴシック"/>
      <charset val="128"/>
      <family val="3"/>
      <b val="1"/>
      <color theme="0"/>
      <sz val="12"/>
    </font>
    <font>
      <name val="ＭＳ ゴシック"/>
      <charset val="128"/>
      <family val="3"/>
      <b val="1"/>
      <color theme="0" tint="-0.3499862666707358"/>
      <sz val="12"/>
    </font>
  </fonts>
  <fills count="20">
    <fill>
      <patternFill/>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theme="5" tint="0.7999816888943144"/>
        <bgColor indexed="64"/>
      </patternFill>
    </fill>
    <fill>
      <patternFill patternType="solid">
        <fgColor rgb="FFFCE4D6"/>
        <bgColor indexed="64"/>
      </patternFill>
    </fill>
    <fill>
      <patternFill patternType="solid">
        <fgColor theme="0" tint="-0.1499984740745262"/>
        <bgColor indexed="64"/>
      </patternFill>
    </fill>
    <fill>
      <patternFill patternType="solid">
        <fgColor rgb="FFFFEBFF"/>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5" tint="0.5999938962981048"/>
        <bgColor indexed="64"/>
      </patternFill>
    </fill>
    <fill>
      <patternFill patternType="solid">
        <fgColor rgb="FFFFCCFF"/>
        <bgColor indexed="64"/>
      </patternFill>
    </fill>
    <fill>
      <patternFill patternType="solid">
        <fgColor theme="9" tint="0.5999938962981048"/>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0" tint="-0.3499862666707358"/>
        <bgColor indexed="64"/>
      </patternFill>
    </fill>
    <fill>
      <patternFill patternType="solid">
        <fgColor theme="0" tint="-0.249946592608417"/>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rgb="FFFF0000"/>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medium">
        <color rgb="FFFF0000"/>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17" fillId="0" borderId="0" applyAlignment="1">
      <alignment vertical="center"/>
    </xf>
    <xf numFmtId="38" fontId="17" fillId="0" borderId="0" applyAlignment="1">
      <alignment vertical="center"/>
    </xf>
  </cellStyleXfs>
  <cellXfs count="326">
    <xf numFmtId="0" fontId="0" fillId="0" borderId="0" applyAlignment="1" pivotButton="0" quotePrefix="0" xfId="0">
      <alignment vertical="center"/>
    </xf>
    <xf numFmtId="0" fontId="0" fillId="0" borderId="1" applyAlignment="1" pivotButton="0" quotePrefix="0" xfId="0">
      <alignment vertical="center"/>
    </xf>
    <xf numFmtId="0" fontId="1" fillId="0" borderId="0" applyAlignment="1" pivotButton="0" quotePrefix="0" xfId="0">
      <alignment horizontal="right" vertical="center"/>
    </xf>
    <xf numFmtId="0" fontId="2" fillId="0" borderId="0" applyAlignment="1" pivotButton="0" quotePrefix="0" xfId="0">
      <alignment horizontal="center" vertical="center"/>
    </xf>
    <xf numFmtId="0" fontId="3" fillId="0" borderId="0" applyAlignment="1" pivotButton="0" quotePrefix="0" xfId="0">
      <alignment horizontal="justify"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2" fillId="0" borderId="0" applyAlignment="1" pivotButton="0" quotePrefix="0" xfId="0">
      <alignment horizontal="right" vertical="center"/>
    </xf>
    <xf numFmtId="0" fontId="4" fillId="0" borderId="0" applyAlignment="1" pivotButton="0" quotePrefix="0" xfId="0">
      <alignment vertical="center"/>
    </xf>
    <xf numFmtId="0" fontId="9" fillId="0" borderId="0" applyAlignment="1" pivotButton="0" quotePrefix="0" xfId="0">
      <alignment vertical="center"/>
    </xf>
    <xf numFmtId="0" fontId="0" fillId="0" borderId="1" applyAlignment="1" pivotButton="0" quotePrefix="0" xfId="0">
      <alignment horizontal="center" vertical="center"/>
    </xf>
    <xf numFmtId="0" fontId="0" fillId="3" borderId="0" applyAlignment="1" applyProtection="1" pivotButton="0" quotePrefix="0" xfId="0">
      <alignment vertical="center"/>
      <protection locked="0" hidden="0"/>
    </xf>
    <xf numFmtId="0" fontId="0" fillId="0" borderId="0" applyAlignment="1" pivotButton="0" quotePrefix="0" xfId="0">
      <alignment horizontal="center" vertical="center"/>
    </xf>
    <xf numFmtId="0" fontId="0" fillId="0" borderId="13" applyAlignment="1" pivotButton="0" quotePrefix="0" xfId="0">
      <alignment vertical="center"/>
    </xf>
    <xf numFmtId="0" fontId="7" fillId="0" borderId="0" applyAlignment="1" pivotButton="0" quotePrefix="0" xfId="0">
      <alignment vertical="center" shrinkToFit="1"/>
    </xf>
    <xf numFmtId="0" fontId="14" fillId="0" borderId="0" applyAlignment="1" pivotButton="0" quotePrefix="0" xfId="0">
      <alignment vertical="center" shrinkToFit="1"/>
    </xf>
    <xf numFmtId="0" fontId="14" fillId="0" borderId="0" applyAlignment="1" pivotButton="0" quotePrefix="0" xfId="0">
      <alignment horizontal="left" vertical="center" wrapText="1" shrinkToFit="1"/>
    </xf>
    <xf numFmtId="0" fontId="0" fillId="4" borderId="1" applyAlignment="1" pivotButton="0" quotePrefix="0" xfId="0">
      <alignment vertical="center" wrapText="1"/>
    </xf>
    <xf numFmtId="0" fontId="0" fillId="0" borderId="13" applyAlignment="1" applyProtection="1" pivotButton="0" quotePrefix="0" xfId="0">
      <alignment vertical="center"/>
      <protection locked="0" hidden="0"/>
    </xf>
    <xf numFmtId="0" fontId="20" fillId="0" borderId="0" applyAlignment="1" pivotButton="0" quotePrefix="0" xfId="0">
      <alignment vertical="center"/>
    </xf>
    <xf numFmtId="0" fontId="19" fillId="0" borderId="0" applyAlignment="1" pivotButton="0" quotePrefix="0" xfId="0">
      <alignment vertical="center"/>
    </xf>
    <xf numFmtId="0" fontId="23" fillId="3" borderId="0" applyAlignment="1" pivotButton="0" quotePrefix="0" xfId="0">
      <alignment vertical="center"/>
    </xf>
    <xf numFmtId="38" fontId="24" fillId="7" borderId="1" applyAlignment="1" pivotButton="0" quotePrefix="0" xfId="1">
      <alignment horizontal="center" vertical="center"/>
    </xf>
    <xf numFmtId="38" fontId="24" fillId="7" borderId="0" applyAlignment="1" pivotButton="0" quotePrefix="0" xfId="1">
      <alignment horizontal="center" vertical="center"/>
    </xf>
    <xf numFmtId="0" fontId="20" fillId="0" borderId="0" applyAlignment="1" applyProtection="1" pivotButton="0" quotePrefix="0" xfId="0">
      <alignment vertical="center"/>
      <protection locked="0" hidden="0"/>
    </xf>
    <xf numFmtId="0" fontId="0" fillId="3" borderId="0" applyAlignment="1" pivotButton="0" quotePrefix="0" xfId="0">
      <alignment vertical="center"/>
    </xf>
    <xf numFmtId="164" fontId="22" fillId="3" borderId="0" applyAlignment="1" pivotButton="0" quotePrefix="0" xfId="0">
      <alignment horizontal="center" vertical="center"/>
    </xf>
    <xf numFmtId="49" fontId="0" fillId="0" borderId="0" applyAlignment="1" pivotButton="0" quotePrefix="0" xfId="0">
      <alignment vertical="center"/>
    </xf>
    <xf numFmtId="165" fontId="0" fillId="8" borderId="1" applyAlignment="1" pivotButton="0" quotePrefix="0" xfId="0">
      <alignment vertical="center"/>
    </xf>
    <xf numFmtId="49" fontId="0" fillId="9" borderId="1" applyAlignment="1" pivotButton="0" quotePrefix="0" xfId="0">
      <alignment vertical="center"/>
    </xf>
    <xf numFmtId="166" fontId="0" fillId="9" borderId="1" applyAlignment="1" pivotButton="0" quotePrefix="0" xfId="0">
      <alignment vertical="center"/>
    </xf>
    <xf numFmtId="166" fontId="0" fillId="10" borderId="5" applyAlignment="1" pivotButton="0" quotePrefix="0" xfId="0">
      <alignment vertical="center"/>
    </xf>
    <xf numFmtId="166" fontId="0" fillId="0" borderId="1" applyAlignment="1" pivotButton="0" quotePrefix="0" xfId="0">
      <alignment vertical="center"/>
    </xf>
    <xf numFmtId="166" fontId="0" fillId="0" borderId="5" applyAlignment="1" pivotButton="0" quotePrefix="0" xfId="0">
      <alignment vertical="center"/>
    </xf>
    <xf numFmtId="49" fontId="0" fillId="10" borderId="1" applyAlignment="1" pivotButton="0" quotePrefix="0" xfId="0">
      <alignment vertical="center"/>
    </xf>
    <xf numFmtId="166" fontId="0" fillId="10" borderId="1" applyAlignment="1" pivotButton="0" quotePrefix="0" xfId="0">
      <alignment vertical="center"/>
    </xf>
    <xf numFmtId="166" fontId="0" fillId="11" borderId="1" applyAlignment="1" pivotButton="0" quotePrefix="0" xfId="0">
      <alignment vertical="center"/>
    </xf>
    <xf numFmtId="166" fontId="20" fillId="0" borderId="1" applyAlignment="1" pivotButton="0" quotePrefix="0" xfId="0">
      <alignment vertical="center"/>
    </xf>
    <xf numFmtId="165" fontId="0" fillId="0" borderId="0" applyAlignment="1" pivotButton="0" quotePrefix="0" xfId="0">
      <alignment vertical="center"/>
    </xf>
    <xf numFmtId="0" fontId="0" fillId="13" borderId="1" applyAlignment="1" pivotButton="0" quotePrefix="0" xfId="0">
      <alignment vertical="center"/>
    </xf>
    <xf numFmtId="38" fontId="24" fillId="0" borderId="1" applyAlignment="1" pivotButton="0" quotePrefix="0" xfId="1">
      <alignment horizontal="center" vertical="center"/>
    </xf>
    <xf numFmtId="0" fontId="0" fillId="15" borderId="1" applyAlignment="1" pivotButton="0" quotePrefix="0" xfId="0">
      <alignment vertical="center" wrapText="1"/>
    </xf>
    <xf numFmtId="0" fontId="0" fillId="4" borderId="12" applyAlignment="1" pivotButton="0" quotePrefix="0" xfId="0">
      <alignment vertical="center" wrapText="1"/>
    </xf>
    <xf numFmtId="0" fontId="0" fillId="0" borderId="0" applyAlignment="1" pivotButton="0" quotePrefix="0" xfId="0">
      <alignment vertical="center" wrapText="1"/>
    </xf>
    <xf numFmtId="164" fontId="13" fillId="3" borderId="1" applyAlignment="1" pivotButton="0" quotePrefix="0" xfId="0">
      <alignment horizontal="right" vertical="center"/>
    </xf>
    <xf numFmtId="0" fontId="21" fillId="3" borderId="0" applyAlignment="1" applyProtection="1" pivotButton="0" quotePrefix="0" xfId="0">
      <alignment vertical="center"/>
      <protection locked="1" hidden="1"/>
    </xf>
    <xf numFmtId="0" fontId="0" fillId="3" borderId="0" applyAlignment="1" applyProtection="1" pivotButton="0" quotePrefix="0" xfId="0">
      <alignment vertical="center"/>
      <protection locked="1" hidden="1"/>
    </xf>
    <xf numFmtId="38" fontId="24" fillId="7" borderId="1" applyAlignment="1" applyProtection="1" pivotButton="0" quotePrefix="0" xfId="1">
      <alignment horizontal="center" vertical="center"/>
      <protection locked="1" hidden="1"/>
    </xf>
    <xf numFmtId="38" fontId="24" fillId="7" borderId="0" applyAlignment="1" applyProtection="1" pivotButton="0" quotePrefix="0" xfId="1">
      <alignment horizontal="center" vertical="center"/>
      <protection locked="1" hidden="1"/>
    </xf>
    <xf numFmtId="164" fontId="22" fillId="3" borderId="0" applyAlignment="1" applyProtection="1" pivotButton="0" quotePrefix="0" xfId="0">
      <alignment horizontal="center" vertical="center"/>
      <protection locked="1" hidden="1"/>
    </xf>
    <xf numFmtId="0" fontId="0" fillId="0" borderId="0" applyAlignment="1" applyProtection="1" pivotButton="0" quotePrefix="0" xfId="0">
      <alignment vertical="center"/>
      <protection locked="1" hidden="1"/>
    </xf>
    <xf numFmtId="164" fontId="13" fillId="0" borderId="0" applyAlignment="1" applyProtection="1" pivotButton="0" quotePrefix="0" xfId="0">
      <alignment horizontal="right" vertical="top"/>
      <protection locked="1" hidden="1"/>
    </xf>
    <xf numFmtId="0" fontId="23" fillId="3" borderId="0" applyAlignment="1" applyProtection="1" pivotButton="0" quotePrefix="0" xfId="0">
      <alignment vertical="center"/>
      <protection locked="1" hidden="1"/>
    </xf>
    <xf numFmtId="0" fontId="0" fillId="9" borderId="0" applyAlignment="1" pivotButton="0" quotePrefix="0" xfId="0">
      <alignment vertical="center"/>
    </xf>
    <xf numFmtId="0" fontId="0" fillId="15" borderId="1" applyAlignment="1" pivotButton="0" quotePrefix="0" xfId="0">
      <alignment vertical="center"/>
    </xf>
    <xf numFmtId="167" fontId="0" fillId="15" borderId="1" applyAlignment="1" pivotButton="0" quotePrefix="0" xfId="0">
      <alignment vertical="center"/>
    </xf>
    <xf numFmtId="166" fontId="0" fillId="6" borderId="1" applyAlignment="1" pivotButton="0" quotePrefix="0" xfId="0">
      <alignment vertical="center"/>
    </xf>
    <xf numFmtId="0" fontId="11" fillId="0" borderId="1" applyAlignment="1" pivotButton="0" quotePrefix="0" xfId="0">
      <alignment vertical="center"/>
    </xf>
    <xf numFmtId="0" fontId="0" fillId="0" borderId="5" applyAlignment="1" pivotButton="0" quotePrefix="0" xfId="0">
      <alignment vertical="center"/>
    </xf>
    <xf numFmtId="0" fontId="0" fillId="0" borderId="17" applyAlignment="1" pivotButton="0" quotePrefix="0" xfId="0">
      <alignment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20" applyAlignment="1" pivotButton="0" quotePrefix="0" xfId="0">
      <alignment vertical="center"/>
    </xf>
    <xf numFmtId="166" fontId="0" fillId="0" borderId="0" applyAlignment="1" pivotButton="0" quotePrefix="0" xfId="0">
      <alignment vertical="center"/>
    </xf>
    <xf numFmtId="0" fontId="0" fillId="0" borderId="21" applyAlignment="1" pivotButton="0" quotePrefix="0" xfId="0">
      <alignment vertical="center"/>
    </xf>
    <xf numFmtId="166" fontId="25" fillId="0" borderId="0" applyAlignment="1" pivotButton="0" quotePrefix="0" xfId="0">
      <alignment vertical="center"/>
    </xf>
    <xf numFmtId="0" fontId="26" fillId="0" borderId="0" applyAlignment="1" pivotButton="0" quotePrefix="0" xfId="0">
      <alignment vertical="center"/>
    </xf>
    <xf numFmtId="168" fontId="0" fillId="0" borderId="0" applyAlignment="1" pivotButton="0" quotePrefix="0" xfId="0">
      <alignment vertical="center"/>
    </xf>
    <xf numFmtId="0" fontId="0" fillId="0" borderId="22" applyAlignment="1" pivotButton="0" quotePrefix="0" xfId="0">
      <alignment vertical="center"/>
    </xf>
    <xf numFmtId="49" fontId="0" fillId="0" borderId="23" applyAlignment="1" pivotButton="0" quotePrefix="0" xfId="0">
      <alignment vertical="center"/>
    </xf>
    <xf numFmtId="166" fontId="0" fillId="0" borderId="23" applyAlignment="1" pivotButton="0" quotePrefix="0" xfId="0">
      <alignment vertical="center"/>
    </xf>
    <xf numFmtId="0" fontId="0" fillId="0" borderId="24" applyAlignment="1" pivotButton="0" quotePrefix="0" xfId="0">
      <alignment vertical="center"/>
    </xf>
    <xf numFmtId="49" fontId="0" fillId="0" borderId="18" applyAlignment="1" pivotButton="0" quotePrefix="0" xfId="0">
      <alignment vertical="center"/>
    </xf>
    <xf numFmtId="166" fontId="0" fillId="0" borderId="18" applyAlignment="1" pivotButton="0" quotePrefix="0" xfId="0">
      <alignment vertical="center"/>
    </xf>
    <xf numFmtId="49" fontId="0" fillId="0" borderId="19" applyAlignment="1" pivotButton="0" quotePrefix="0" xfId="0">
      <alignment vertical="center"/>
    </xf>
    <xf numFmtId="0" fontId="23" fillId="14" borderId="25" applyAlignment="1" pivotButton="0" quotePrefix="0" xfId="0">
      <alignment vertical="center"/>
    </xf>
    <xf numFmtId="0" fontId="0" fillId="0" borderId="23" applyAlignment="1" pivotButton="0" quotePrefix="0" xfId="0">
      <alignment vertical="center"/>
    </xf>
    <xf numFmtId="49" fontId="27" fillId="0" borderId="0" applyAlignment="1" pivotButton="0" quotePrefix="0" xfId="0">
      <alignment vertical="center"/>
    </xf>
    <xf numFmtId="49" fontId="27" fillId="0" borderId="20" applyAlignment="1" pivotButton="0" quotePrefix="0" xfId="0">
      <alignment vertical="center"/>
    </xf>
    <xf numFmtId="49" fontId="0" fillId="0" borderId="21" applyAlignment="1" pivotButton="0" quotePrefix="0" xfId="0">
      <alignment vertical="center"/>
    </xf>
    <xf numFmtId="168" fontId="0" fillId="0" borderId="1" applyAlignment="1" pivotButton="0" quotePrefix="0" xfId="0">
      <alignment vertical="center"/>
    </xf>
    <xf numFmtId="165" fontId="0" fillId="0" borderId="1" applyAlignment="1" pivotButton="0" quotePrefix="0" xfId="0">
      <alignment vertical="center"/>
    </xf>
    <xf numFmtId="0" fontId="0" fillId="0" borderId="0" applyAlignment="1" pivotButton="0" quotePrefix="0" xfId="0">
      <alignment horizontal="right" vertical="center"/>
    </xf>
    <xf numFmtId="0" fontId="19" fillId="0" borderId="0" applyAlignment="1" pivotButton="0" quotePrefix="0" xfId="0">
      <alignment horizontal="center" vertical="center"/>
    </xf>
    <xf numFmtId="164" fontId="13" fillId="3" borderId="0" applyAlignment="1" applyProtection="1" pivotButton="0" quotePrefix="0" xfId="0">
      <alignment horizontal="right" vertical="center"/>
      <protection locked="1" hidden="1"/>
    </xf>
    <xf numFmtId="49" fontId="0" fillId="0" borderId="0" applyAlignment="1" pivotButton="0" quotePrefix="0" xfId="0">
      <alignment horizontal="center" vertical="center"/>
    </xf>
    <xf numFmtId="166" fontId="0" fillId="9" borderId="5" applyAlignment="1" pivotButton="0" quotePrefix="0" xfId="0">
      <alignment vertical="center"/>
    </xf>
    <xf numFmtId="49" fontId="0" fillId="11" borderId="5" applyAlignment="1" pivotButton="0" quotePrefix="0" xfId="0">
      <alignment vertical="center"/>
    </xf>
    <xf numFmtId="166" fontId="0" fillId="11" borderId="3" applyAlignment="1" pivotButton="0" quotePrefix="0" xfId="0">
      <alignment vertical="center"/>
    </xf>
    <xf numFmtId="166" fontId="0" fillId="12" borderId="6" applyAlignment="1" pivotButton="0" quotePrefix="0" xfId="0">
      <alignment vertical="center"/>
    </xf>
    <xf numFmtId="169" fontId="0" fillId="0" borderId="1" applyAlignment="1" pivotButton="0" quotePrefix="0" xfId="0">
      <alignment vertical="center"/>
    </xf>
    <xf numFmtId="169" fontId="20" fillId="0" borderId="1" applyAlignment="1" pivotButton="0" quotePrefix="0" xfId="0">
      <alignment vertical="center"/>
    </xf>
    <xf numFmtId="169" fontId="0" fillId="0" borderId="5" applyAlignment="1" pivotButton="0" quotePrefix="0" xfId="0">
      <alignment vertical="center"/>
    </xf>
    <xf numFmtId="169" fontId="0" fillId="12" borderId="1" applyAlignment="1" pivotButton="0" quotePrefix="0" xfId="0">
      <alignment vertical="center"/>
    </xf>
    <xf numFmtId="0" fontId="28" fillId="0" borderId="0" applyAlignment="1" pivotButton="0" quotePrefix="0" xfId="0">
      <alignment vertical="center" wrapText="1"/>
    </xf>
    <xf numFmtId="0" fontId="0" fillId="10" borderId="0" applyAlignment="1" pivotButton="0" quotePrefix="0" xfId="0">
      <alignment vertical="center"/>
    </xf>
    <xf numFmtId="49" fontId="20" fillId="0" borderId="20" applyAlignment="1" pivotButton="0" quotePrefix="0" xfId="0">
      <alignment vertical="center"/>
    </xf>
    <xf numFmtId="165" fontId="0" fillId="0" borderId="26" applyAlignment="1" pivotButton="0" quotePrefix="0" xfId="0">
      <alignment vertical="center"/>
    </xf>
    <xf numFmtId="166" fontId="29" fillId="0" borderId="1" applyAlignment="1" pivotButton="0" quotePrefix="0" xfId="0">
      <alignment vertical="center"/>
    </xf>
    <xf numFmtId="169" fontId="29" fillId="0" borderId="1" applyAlignment="1" pivotButton="0" quotePrefix="0" xfId="0">
      <alignment vertical="center"/>
    </xf>
    <xf numFmtId="0" fontId="0" fillId="0" borderId="13" applyAlignment="1" pivotButton="0" quotePrefix="0" xfId="0">
      <alignment horizontal="center" vertical="center"/>
    </xf>
    <xf numFmtId="170" fontId="24" fillId="7" borderId="0" applyAlignment="1" pivotButton="0" quotePrefix="0" xfId="1">
      <alignment horizontal="center" vertical="center"/>
    </xf>
    <xf numFmtId="0" fontId="30" fillId="0" borderId="0" applyAlignment="1" applyProtection="1" pivotButton="0" quotePrefix="0" xfId="0">
      <alignment horizontal="left" vertical="center"/>
      <protection locked="1" hidden="1"/>
    </xf>
    <xf numFmtId="0" fontId="30" fillId="0" borderId="0" applyAlignment="1" applyProtection="1" pivotButton="0" quotePrefix="0" xfId="0">
      <alignment horizontal="center" vertical="center"/>
      <protection locked="1" hidden="1"/>
    </xf>
    <xf numFmtId="0" fontId="27" fillId="0" borderId="0" applyAlignment="1" pivotButton="0" quotePrefix="0" xfId="0">
      <alignment vertical="center"/>
    </xf>
    <xf numFmtId="0" fontId="27" fillId="0" borderId="17" applyAlignment="1" pivotButton="0" quotePrefix="0" xfId="0">
      <alignment vertical="center"/>
    </xf>
    <xf numFmtId="0" fontId="27" fillId="0" borderId="18" applyAlignment="1" pivotButton="0" quotePrefix="0" xfId="0">
      <alignment vertical="center"/>
    </xf>
    <xf numFmtId="0" fontId="27" fillId="0" borderId="19" applyAlignment="1" pivotButton="0" quotePrefix="0" xfId="0">
      <alignment vertical="center"/>
    </xf>
    <xf numFmtId="0" fontId="15" fillId="0" borderId="20" applyAlignment="1" pivotButton="0" quotePrefix="0" xfId="0">
      <alignment vertical="center"/>
    </xf>
    <xf numFmtId="0" fontId="27" fillId="0" borderId="21" applyAlignment="1" pivotButton="0" quotePrefix="0" xfId="0">
      <alignment vertical="center"/>
    </xf>
    <xf numFmtId="0" fontId="27" fillId="0" borderId="20" applyAlignment="1" pivotButton="0" quotePrefix="0" xfId="0">
      <alignment vertical="center"/>
    </xf>
    <xf numFmtId="0" fontId="27" fillId="0" borderId="22" applyAlignment="1" pivotButton="0" quotePrefix="0" xfId="0">
      <alignment vertical="center"/>
    </xf>
    <xf numFmtId="0" fontId="27" fillId="0" borderId="23" applyAlignment="1" pivotButton="0" quotePrefix="0" xfId="0">
      <alignment vertical="center"/>
    </xf>
    <xf numFmtId="0" fontId="27" fillId="0" borderId="24" applyAlignment="1" pivotButton="0" quotePrefix="0" xfId="0">
      <alignment vertical="center"/>
    </xf>
    <xf numFmtId="0" fontId="20" fillId="0" borderId="20" applyAlignment="1" pivotButton="0" quotePrefix="0" xfId="0">
      <alignment vertical="center"/>
    </xf>
    <xf numFmtId="166" fontId="0" fillId="12" borderId="1" applyAlignment="1" pivotButton="0" quotePrefix="0" xfId="0">
      <alignment vertical="center"/>
    </xf>
    <xf numFmtId="0" fontId="14" fillId="0" borderId="0" applyAlignment="1" pivotButton="0" quotePrefix="0" xfId="0">
      <alignment vertical="center"/>
    </xf>
    <xf numFmtId="0" fontId="14" fillId="0" borderId="0" applyAlignment="1" pivotButton="0" quotePrefix="0" xfId="0">
      <alignment vertical="center" wrapText="1" shrinkToFit="1"/>
    </xf>
    <xf numFmtId="0" fontId="0" fillId="16" borderId="1" applyAlignment="1" pivotButton="0" quotePrefix="0" xfId="0">
      <alignment horizontal="center" vertical="center"/>
    </xf>
    <xf numFmtId="0" fontId="0" fillId="17" borderId="1" applyAlignment="1" pivotButton="0" quotePrefix="0" xfId="0">
      <alignment vertical="center" wrapText="1"/>
    </xf>
    <xf numFmtId="0" fontId="32" fillId="0" borderId="20" applyAlignment="1" pivotButton="0" quotePrefix="0" xfId="0">
      <alignment vertical="center"/>
    </xf>
    <xf numFmtId="0" fontId="0" fillId="0" borderId="9" applyAlignment="1" pivotButton="0" quotePrefix="0" xfId="0">
      <alignment vertical="center"/>
    </xf>
    <xf numFmtId="165" fontId="0" fillId="16" borderId="1" applyAlignment="1" pivotButton="0" quotePrefix="0" xfId="0">
      <alignment vertical="center"/>
    </xf>
    <xf numFmtId="166" fontId="0" fillId="11" borderId="27" applyAlignment="1" pivotButton="0" quotePrefix="0" xfId="0">
      <alignment vertical="center"/>
    </xf>
    <xf numFmtId="166" fontId="0" fillId="10" borderId="1" applyAlignment="1" pivotButton="0" quotePrefix="0" xfId="0">
      <alignment vertical="center" wrapText="1"/>
    </xf>
    <xf numFmtId="0" fontId="33" fillId="0" borderId="0" applyAlignment="1" pivotButton="0" quotePrefix="0" xfId="0">
      <alignment vertical="center"/>
    </xf>
    <xf numFmtId="0" fontId="35" fillId="0" borderId="0" applyAlignment="1" pivotButton="0" quotePrefix="0" xfId="0">
      <alignment vertical="center" shrinkToFit="1"/>
    </xf>
    <xf numFmtId="0" fontId="0" fillId="0" borderId="20" applyAlignment="1" pivotButton="0" quotePrefix="0" xfId="0">
      <alignment vertical="center" shrinkToFit="1"/>
    </xf>
    <xf numFmtId="0" fontId="36" fillId="0" borderId="0" applyAlignment="1" pivotButton="0" quotePrefix="0" xfId="0">
      <alignment vertical="center"/>
    </xf>
    <xf numFmtId="3" fontId="0" fillId="16" borderId="0" applyAlignment="1" pivotButton="0" quotePrefix="0" xfId="0">
      <alignment vertical="center"/>
    </xf>
    <xf numFmtId="3" fontId="0" fillId="13" borderId="1" applyAlignment="1" pivotButton="0" quotePrefix="0" xfId="0">
      <alignment vertical="center"/>
    </xf>
    <xf numFmtId="0" fontId="37" fillId="0" borderId="0" applyAlignment="1" pivotButton="0" quotePrefix="0" xfId="0">
      <alignment vertical="center"/>
    </xf>
    <xf numFmtId="0" fontId="38" fillId="0" borderId="0" applyAlignment="1" pivotButton="0" quotePrefix="0" xfId="0">
      <alignment vertical="center"/>
    </xf>
    <xf numFmtId="0" fontId="34" fillId="0" borderId="29" applyAlignment="1" pivotButton="0" quotePrefix="0" xfId="0">
      <alignment horizontal="left" vertical="center"/>
    </xf>
    <xf numFmtId="0" fontId="40" fillId="0" borderId="0" applyAlignment="1" pivotButton="0" quotePrefix="0" xfId="0">
      <alignment horizontal="left" vertical="center"/>
    </xf>
    <xf numFmtId="171" fontId="36" fillId="0" borderId="0" applyAlignment="1" pivotButton="0" quotePrefix="0" xfId="0">
      <alignment horizontal="left" vertical="center"/>
    </xf>
    <xf numFmtId="0" fontId="34" fillId="15" borderId="28" applyAlignment="1" applyProtection="1" pivotButton="0" quotePrefix="0" xfId="0">
      <alignment vertical="center" shrinkToFit="1"/>
      <protection locked="0" hidden="0"/>
    </xf>
    <xf numFmtId="171" fontId="41" fillId="18" borderId="0" applyAlignment="1" applyProtection="1" pivotButton="0" quotePrefix="0" xfId="0">
      <alignment horizontal="left" vertical="center"/>
      <protection locked="0" hidden="0"/>
    </xf>
    <xf numFmtId="0" fontId="41" fillId="19" borderId="0" applyAlignment="1" pivotButton="0" quotePrefix="0" xfId="0">
      <alignment horizontal="lef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16" fillId="0" borderId="0" applyAlignment="1" pivotButton="0" quotePrefix="0" xfId="0">
      <alignment horizontal="left" vertical="center" shrinkToFit="1"/>
    </xf>
    <xf numFmtId="0" fontId="14" fillId="0" borderId="0" applyAlignment="1" pivotButton="0" quotePrefix="0" xfId="0">
      <alignment horizontal="left" vertical="center" shrinkToFit="1"/>
    </xf>
    <xf numFmtId="0" fontId="40" fillId="0" borderId="0" applyAlignment="1" pivotButton="0" quotePrefix="0" xfId="0">
      <alignment horizontal="left" vertical="center" shrinkToFit="1"/>
    </xf>
    <xf numFmtId="0" fontId="30" fillId="0" borderId="0" applyAlignment="1" pivotButton="0" quotePrefix="0" xfId="0">
      <alignment horizontal="left" vertical="center"/>
    </xf>
    <xf numFmtId="0" fontId="28" fillId="0" borderId="0" applyAlignment="1" pivotButton="0" quotePrefix="0" xfId="0">
      <alignment horizontal="left" vertical="center" wrapText="1"/>
    </xf>
    <xf numFmtId="0" fontId="19" fillId="0" borderId="0" applyAlignment="1" pivotButton="0" quotePrefix="0" xfId="0">
      <alignment horizontal="left" vertical="center"/>
    </xf>
    <xf numFmtId="0" fontId="34" fillId="0" borderId="0" applyAlignment="1" pivotButton="0" quotePrefix="0" xfId="0">
      <alignment horizontal="left" vertical="center"/>
    </xf>
    <xf numFmtId="0" fontId="40" fillId="0" borderId="0" applyAlignment="1" pivotButton="0" quotePrefix="0" xfId="0">
      <alignment horizontal="left" vertical="center" shrinkToFit="1"/>
    </xf>
    <xf numFmtId="0" fontId="39" fillId="0" borderId="0" applyAlignment="1" pivotButton="0" quotePrefix="0" xfId="0">
      <alignment vertical="center" shrinkToFit="1"/>
    </xf>
    <xf numFmtId="0" fontId="35" fillId="0" borderId="0" applyAlignment="1" pivotButton="0" quotePrefix="0" xfId="0">
      <alignment horizontal="left" vertical="center" shrinkToFit="1"/>
    </xf>
    <xf numFmtId="0" fontId="30" fillId="0" borderId="0" applyAlignment="1" pivotButton="0" quotePrefix="0" xfId="0">
      <alignment horizontal="left" vertical="center"/>
    </xf>
    <xf numFmtId="0" fontId="0" fillId="0" borderId="0" applyAlignment="1" pivotButton="0" quotePrefix="0" xfId="0">
      <alignment horizontal="left" vertical="center"/>
    </xf>
    <xf numFmtId="0" fontId="28" fillId="0" borderId="0" applyAlignment="1" pivotButton="0" quotePrefix="0" xfId="0">
      <alignment horizontal="left" vertical="center" wrapText="1"/>
    </xf>
    <xf numFmtId="0" fontId="0" fillId="0" borderId="0" applyAlignment="1" pivotButton="0" quotePrefix="0" xfId="0">
      <alignment horizontal="left" vertical="center" wrapText="1"/>
    </xf>
    <xf numFmtId="0" fontId="19" fillId="0" borderId="0" applyAlignment="1" pivotButton="0" quotePrefix="0" xfId="0">
      <alignment horizontal="left" vertical="center"/>
    </xf>
    <xf numFmtId="0" fontId="34" fillId="0" borderId="0" applyAlignment="1" pivotButton="0" quotePrefix="0" xfId="0">
      <alignment horizontal="left" vertical="center"/>
    </xf>
    <xf numFmtId="0" fontId="19" fillId="0" borderId="0" applyAlignment="1" pivotButton="0" quotePrefix="0" xfId="0">
      <alignment horizontal="left"/>
    </xf>
    <xf numFmtId="0" fontId="19" fillId="0" borderId="0" applyAlignment="1" pivotButton="0" quotePrefix="0" xfId="0">
      <alignment horizontal="left" vertical="top"/>
    </xf>
    <xf numFmtId="0" fontId="20" fillId="0" borderId="0" applyAlignment="1" applyProtection="1" pivotButton="0" quotePrefix="0" xfId="0">
      <alignment horizontal="left" vertical="center"/>
      <protection locked="0" hidden="0"/>
    </xf>
    <xf numFmtId="0" fontId="34" fillId="0" borderId="0" applyAlignment="1" pivotButton="0" quotePrefix="0" xfId="0">
      <alignment horizontal="left" vertical="center" shrinkToFit="1"/>
    </xf>
    <xf numFmtId="3" fontId="6" fillId="2" borderId="5" applyAlignment="1" applyProtection="1" pivotButton="0" quotePrefix="0" xfId="0">
      <alignment horizontal="left" vertical="top" wrapText="1"/>
      <protection locked="0" hidden="0"/>
    </xf>
    <xf numFmtId="3" fontId="6" fillId="2" borderId="6" applyAlignment="1" applyProtection="1" pivotButton="0" quotePrefix="0" xfId="0">
      <alignment horizontal="left" vertical="top" wrapText="1"/>
      <protection locked="0" hidden="0"/>
    </xf>
    <xf numFmtId="3" fontId="6" fillId="2" borderId="7" applyAlignment="1" applyProtection="1" pivotButton="0" quotePrefix="0" xfId="0">
      <alignment horizontal="left" vertical="top" wrapText="1"/>
      <protection locked="0" hidden="0"/>
    </xf>
    <xf numFmtId="164" fontId="6" fillId="0" borderId="5" applyAlignment="1" applyProtection="1" pivotButton="0" quotePrefix="0" xfId="0">
      <alignment horizontal="right" vertical="top" wrapText="1"/>
      <protection locked="0" hidden="0"/>
    </xf>
    <xf numFmtId="164" fontId="6" fillId="0" borderId="6" applyAlignment="1" applyProtection="1" pivotButton="0" quotePrefix="0" xfId="0">
      <alignment horizontal="right" vertical="top" wrapText="1"/>
      <protection locked="0" hidden="0"/>
    </xf>
    <xf numFmtId="164" fontId="6" fillId="0" borderId="7" applyAlignment="1" applyProtection="1" pivotButton="0" quotePrefix="0" xfId="0">
      <alignment horizontal="right" vertical="top" wrapText="1"/>
      <protection locked="0" hidden="0"/>
    </xf>
    <xf numFmtId="0" fontId="6" fillId="2" borderId="5" applyAlignment="1" applyProtection="1" pivotButton="0" quotePrefix="0" xfId="0">
      <alignment horizontal="left" vertical="top" wrapText="1"/>
      <protection locked="0" hidden="0"/>
    </xf>
    <xf numFmtId="0" fontId="6" fillId="2" borderId="6" applyAlignment="1" applyProtection="1" pivotButton="0" quotePrefix="0" xfId="0">
      <alignment horizontal="left" vertical="top" wrapText="1"/>
      <protection locked="0" hidden="0"/>
    </xf>
    <xf numFmtId="0" fontId="6" fillId="2" borderId="7" applyAlignment="1" applyProtection="1" pivotButton="0" quotePrefix="0" xfId="0">
      <alignment horizontal="left" vertical="top" wrapText="1"/>
      <protection locked="0" hidden="0"/>
    </xf>
    <xf numFmtId="0" fontId="14" fillId="0" borderId="0" applyAlignment="1" pivotButton="0" quotePrefix="0" xfId="0">
      <alignment horizontal="left" vertical="center" shrinkToFit="1"/>
    </xf>
    <xf numFmtId="0" fontId="16" fillId="0" borderId="0" applyAlignment="1" pivotButton="0" quotePrefix="0" xfId="0">
      <alignment horizontal="left" vertical="center" shrinkToFit="1"/>
    </xf>
    <xf numFmtId="0" fontId="11" fillId="0" borderId="3" applyAlignment="1" applyProtection="1" pivotButton="0" quotePrefix="0" xfId="0">
      <alignment horizontal="left" vertical="center" wrapText="1"/>
      <protection locked="0" hidden="0"/>
    </xf>
    <xf numFmtId="0" fontId="4" fillId="5" borderId="8" applyAlignment="1" pivotButton="0" quotePrefix="0" xfId="0">
      <alignment vertical="top" wrapText="1"/>
    </xf>
    <xf numFmtId="0" fontId="4" fillId="5" borderId="9" applyAlignment="1" pivotButton="0" quotePrefix="0" xfId="0">
      <alignment vertical="top" wrapText="1"/>
    </xf>
    <xf numFmtId="0" fontId="4" fillId="5" borderId="10" applyAlignment="1" pivotButton="0" quotePrefix="0" xfId="0">
      <alignment vertical="top" wrapText="1"/>
    </xf>
    <xf numFmtId="0" fontId="4" fillId="5" borderId="11" applyAlignment="1" pivotButton="0" quotePrefix="0" xfId="0">
      <alignment vertical="top" wrapText="1"/>
    </xf>
    <xf numFmtId="0" fontId="4" fillId="5" borderId="3" applyAlignment="1" pivotButton="0" quotePrefix="0" xfId="0">
      <alignment vertical="top" wrapText="1"/>
    </xf>
    <xf numFmtId="0" fontId="4" fillId="5" borderId="4" applyAlignment="1" pivotButton="0" quotePrefix="0" xfId="0">
      <alignment vertical="top" wrapText="1"/>
    </xf>
    <xf numFmtId="0" fontId="4" fillId="5" borderId="8" applyAlignment="1" pivotButton="0" quotePrefix="0" xfId="0">
      <alignment horizontal="left" vertical="top" wrapText="1"/>
    </xf>
    <xf numFmtId="0" fontId="4" fillId="5" borderId="9" applyAlignment="1" pivotButton="0" quotePrefix="0" xfId="0">
      <alignment horizontal="left" vertical="top" wrapText="1"/>
    </xf>
    <xf numFmtId="0" fontId="4" fillId="5" borderId="11" applyAlignment="1" pivotButton="0" quotePrefix="0" xfId="0">
      <alignment horizontal="left" vertical="top" wrapText="1"/>
    </xf>
    <xf numFmtId="0" fontId="4" fillId="5" borderId="3" applyAlignment="1" pivotButton="0" quotePrefix="0" xfId="0">
      <alignment horizontal="left" vertical="top" wrapText="1"/>
    </xf>
    <xf numFmtId="0" fontId="4" fillId="5" borderId="10" applyAlignment="1" pivotButton="0" quotePrefix="0" xfId="0">
      <alignment horizontal="left" vertical="top" wrapText="1"/>
    </xf>
    <xf numFmtId="0" fontId="4" fillId="5" borderId="4" applyAlignment="1" pivotButton="0" quotePrefix="0" xfId="0">
      <alignment horizontal="left" vertical="top" wrapText="1"/>
    </xf>
    <xf numFmtId="0" fontId="4" fillId="5" borderId="8" applyAlignment="1" pivotButton="0" quotePrefix="0" xfId="0">
      <alignment vertical="top" shrinkToFit="1"/>
    </xf>
    <xf numFmtId="0" fontId="4" fillId="5" borderId="9" applyAlignment="1" pivotButton="0" quotePrefix="0" xfId="0">
      <alignment vertical="top" shrinkToFit="1"/>
    </xf>
    <xf numFmtId="0" fontId="4" fillId="5" borderId="10" applyAlignment="1" pivotButton="0" quotePrefix="0" xfId="0">
      <alignment vertical="top" shrinkToFit="1"/>
    </xf>
    <xf numFmtId="0" fontId="4" fillId="5" borderId="11" applyAlignment="1" applyProtection="1" pivotButton="0" quotePrefix="0" xfId="0">
      <alignment horizontal="center" vertical="center" wrapText="1"/>
      <protection locked="0" hidden="0"/>
    </xf>
    <xf numFmtId="0" fontId="4" fillId="5" borderId="3" applyAlignment="1" applyProtection="1" pivotButton="0" quotePrefix="0" xfId="0">
      <alignment horizontal="center" vertical="center" wrapText="1"/>
      <protection locked="0" hidden="0"/>
    </xf>
    <xf numFmtId="0" fontId="4" fillId="5" borderId="4" applyAlignment="1" applyProtection="1" pivotButton="0" quotePrefix="0" xfId="0">
      <alignment horizontal="center" vertical="center" wrapText="1"/>
      <protection locked="0" hidden="0"/>
    </xf>
    <xf numFmtId="0" fontId="4" fillId="5" borderId="5" applyAlignment="1" pivotButton="0" quotePrefix="0" xfId="0">
      <alignment horizontal="left" vertical="top" wrapText="1"/>
    </xf>
    <xf numFmtId="0" fontId="4" fillId="5" borderId="6" applyAlignment="1" pivotButton="0" quotePrefix="0" xfId="0">
      <alignment horizontal="left" vertical="top" wrapText="1"/>
    </xf>
    <xf numFmtId="0" fontId="4" fillId="5" borderId="7" applyAlignment="1" pivotButton="0" quotePrefix="0" xfId="0">
      <alignment horizontal="left" vertical="top" wrapText="1"/>
    </xf>
    <xf numFmtId="0" fontId="4" fillId="5" borderId="1" applyAlignment="1" pivotButton="0" quotePrefix="0" xfId="0">
      <alignment vertical="top" wrapText="1"/>
    </xf>
    <xf numFmtId="0" fontId="4" fillId="5" borderId="5" applyAlignment="1" pivotButton="0" quotePrefix="0" xfId="0">
      <alignment horizontal="center" vertical="top" wrapText="1"/>
    </xf>
    <xf numFmtId="0" fontId="4" fillId="5" borderId="6" applyAlignment="1" pivotButton="0" quotePrefix="0" xfId="0">
      <alignment horizontal="center" vertical="top" wrapText="1"/>
    </xf>
    <xf numFmtId="0" fontId="4" fillId="5" borderId="7" applyAlignment="1" pivotButton="0" quotePrefix="0" xfId="0">
      <alignment horizontal="center" vertical="top" wrapText="1"/>
    </xf>
    <xf numFmtId="0" fontId="8" fillId="0" borderId="14" applyAlignment="1" pivotButton="0" quotePrefix="0" xfId="0">
      <alignment horizontal="center" vertical="top" wrapText="1"/>
    </xf>
    <xf numFmtId="0" fontId="8" fillId="0" borderId="15" applyAlignment="1" pivotButton="0" quotePrefix="0" xfId="0">
      <alignment horizontal="center" vertical="top" wrapText="1"/>
    </xf>
    <xf numFmtId="0" fontId="8" fillId="0" borderId="16" applyAlignment="1" pivotButton="0" quotePrefix="0" xfId="0">
      <alignment horizontal="center" vertical="top" wrapText="1"/>
    </xf>
    <xf numFmtId="164" fontId="6" fillId="6" borderId="5" applyAlignment="1" pivotButton="0" quotePrefix="0" xfId="0">
      <alignment horizontal="right" vertical="center" wrapText="1"/>
    </xf>
    <xf numFmtId="164" fontId="6" fillId="6" borderId="6" applyAlignment="1" pivotButton="0" quotePrefix="0" xfId="0">
      <alignment horizontal="right" vertical="center" wrapText="1"/>
    </xf>
    <xf numFmtId="164" fontId="6" fillId="6" borderId="7" applyAlignment="1" pivotButton="0" quotePrefix="0" xfId="0">
      <alignment horizontal="right" vertical="center" wrapText="1"/>
    </xf>
    <xf numFmtId="165" fontId="6" fillId="0" borderId="5" applyAlignment="1" applyProtection="1" pivotButton="0" quotePrefix="0" xfId="0">
      <alignment horizontal="right" vertical="center" wrapText="1"/>
      <protection locked="0" hidden="0"/>
    </xf>
    <xf numFmtId="165" fontId="6" fillId="0" borderId="6" applyAlignment="1" applyProtection="1" pivotButton="0" quotePrefix="0" xfId="0">
      <alignment horizontal="right" vertical="center" wrapText="1"/>
      <protection locked="0" hidden="0"/>
    </xf>
    <xf numFmtId="165" fontId="6" fillId="0" borderId="7" applyAlignment="1" applyProtection="1" pivotButton="0" quotePrefix="0" xfId="0">
      <alignment horizontal="right" vertical="center" wrapText="1"/>
      <protection locked="0" hidden="0"/>
    </xf>
    <xf numFmtId="165" fontId="6" fillId="5" borderId="5" applyAlignment="1" pivotButton="0" quotePrefix="0" xfId="0">
      <alignment horizontal="right" vertical="center" wrapText="1"/>
    </xf>
    <xf numFmtId="165" fontId="6" fillId="5" borderId="6" applyAlignment="1" pivotButton="0" quotePrefix="0" xfId="0">
      <alignment horizontal="right" vertical="center" wrapText="1"/>
    </xf>
    <xf numFmtId="165" fontId="6" fillId="5" borderId="7" applyAlignment="1" pivotButton="0" quotePrefix="0" xfId="0">
      <alignment horizontal="right" vertical="center" wrapText="1"/>
    </xf>
    <xf numFmtId="0" fontId="4" fillId="6" borderId="5" applyAlignment="1" pivotButton="0" quotePrefix="0" xfId="0">
      <alignment horizontal="left" vertical="center" wrapText="1"/>
    </xf>
    <xf numFmtId="0" fontId="4" fillId="6" borderId="6" applyAlignment="1" pivotButton="0" quotePrefix="0" xfId="0">
      <alignment horizontal="left" vertical="center" wrapText="1"/>
    </xf>
    <xf numFmtId="0" fontId="4" fillId="6" borderId="7" applyAlignment="1" pivotButton="0" quotePrefix="0" xfId="0">
      <alignment horizontal="left" vertical="center" wrapText="1"/>
    </xf>
    <xf numFmtId="0" fontId="4" fillId="6" borderId="5" applyAlignment="1" pivotButton="0" quotePrefix="0" xfId="0">
      <alignment horizontal="left" vertical="top" wrapText="1"/>
    </xf>
    <xf numFmtId="0" fontId="4" fillId="6" borderId="6" applyAlignment="1" pivotButton="0" quotePrefix="0" xfId="0">
      <alignment horizontal="left" vertical="top" wrapText="1"/>
    </xf>
    <xf numFmtId="0" fontId="4" fillId="6" borderId="7" applyAlignment="1" pivotButton="0" quotePrefix="0" xfId="0">
      <alignment horizontal="left" vertical="top" wrapText="1"/>
    </xf>
    <xf numFmtId="0" fontId="4" fillId="5" borderId="1" applyAlignment="1" pivotButton="0" quotePrefix="0" xfId="0">
      <alignment horizontal="left" vertical="top" wrapText="1"/>
    </xf>
    <xf numFmtId="0" fontId="4" fillId="5" borderId="1" applyAlignment="1" pivotButton="0" quotePrefix="0" xfId="0">
      <alignment horizontal="left" vertical="center" wrapText="1"/>
    </xf>
    <xf numFmtId="0" fontId="4" fillId="5" borderId="1" applyAlignment="1" pivotButton="0" quotePrefix="0" xfId="0">
      <alignment vertical="center" wrapText="1"/>
    </xf>
    <xf numFmtId="0" fontId="0" fillId="5" borderId="1" applyAlignment="1" pivotButton="0" quotePrefix="0" xfId="0">
      <alignment vertical="center" wrapText="1"/>
    </xf>
    <xf numFmtId="0" fontId="6" fillId="0" borderId="5" applyAlignment="1" applyProtection="1" pivotButton="0" quotePrefix="0" xfId="0">
      <alignment horizontal="left" vertical="top" wrapText="1"/>
      <protection locked="0" hidden="0"/>
    </xf>
    <xf numFmtId="0" fontId="6" fillId="0" borderId="6" applyAlignment="1" applyProtection="1" pivotButton="0" quotePrefix="0" xfId="0">
      <alignment horizontal="left" vertical="top" wrapText="1"/>
      <protection locked="0" hidden="0"/>
    </xf>
    <xf numFmtId="0" fontId="6" fillId="0" borderId="7" applyAlignment="1" applyProtection="1" pivotButton="0" quotePrefix="0" xfId="0">
      <alignment horizontal="left" vertical="top" wrapText="1"/>
      <protection locked="0" hidden="0"/>
    </xf>
    <xf numFmtId="0" fontId="12" fillId="0" borderId="1" applyAlignment="1" applyProtection="1" pivotButton="0" quotePrefix="0" xfId="0">
      <alignment horizontal="left" vertical="top" wrapText="1"/>
      <protection locked="0" hidden="0"/>
    </xf>
    <xf numFmtId="165" fontId="6" fillId="0" borderId="5" applyAlignment="1" applyProtection="1" pivotButton="0" quotePrefix="0" xfId="0">
      <alignment horizontal="right" vertical="top" wrapText="1"/>
      <protection locked="0" hidden="0"/>
    </xf>
    <xf numFmtId="165" fontId="6" fillId="0" borderId="6" applyAlignment="1" applyProtection="1" pivotButton="0" quotePrefix="0" xfId="0">
      <alignment horizontal="right" vertical="top" wrapText="1"/>
      <protection locked="0" hidden="0"/>
    </xf>
    <xf numFmtId="165" fontId="6" fillId="0" borderId="7" applyAlignment="1" applyProtection="1" pivotButton="0" quotePrefix="0" xfId="0">
      <alignment horizontal="right" vertical="top" wrapText="1"/>
      <protection locked="0" hidden="0"/>
    </xf>
    <xf numFmtId="0" fontId="0" fillId="0" borderId="2" applyAlignment="1" pivotButton="0" quotePrefix="0" xfId="0">
      <alignment horizontal="center" vertical="top" wrapText="1"/>
    </xf>
    <xf numFmtId="0" fontId="0" fillId="5" borderId="1" applyAlignment="1" pivotButton="0" quotePrefix="0" xfId="0">
      <alignment vertical="top" wrapText="1"/>
    </xf>
    <xf numFmtId="164" fontId="6" fillId="0" borderId="5" applyAlignment="1" pivotButton="0" quotePrefix="0" xfId="0">
      <alignment horizontal="right" vertical="top" wrapText="1"/>
    </xf>
    <xf numFmtId="164" fontId="6" fillId="0" borderId="6" applyAlignment="1" pivotButton="0" quotePrefix="0" xfId="0">
      <alignment horizontal="right" vertical="top" wrapText="1"/>
    </xf>
    <xf numFmtId="164" fontId="6" fillId="0" borderId="7" applyAlignment="1" pivotButton="0" quotePrefix="0" xfId="0">
      <alignment horizontal="right" vertical="top" wrapText="1"/>
    </xf>
    <xf numFmtId="0" fontId="28" fillId="10" borderId="0" applyAlignment="1" pivotButton="0" quotePrefix="0" xfId="0">
      <alignment horizontal="left" vertical="center" wrapText="1"/>
    </xf>
    <xf numFmtId="0" fontId="7" fillId="0" borderId="0" applyAlignment="1" pivotButton="0" quotePrefix="0" xfId="0">
      <alignment horizontal="left" vertical="center"/>
    </xf>
    <xf numFmtId="0" fontId="4" fillId="5" borderId="5" applyAlignment="1" pivotButton="0" quotePrefix="0" xfId="0">
      <alignment horizontal="left" vertical="center" wrapText="1"/>
    </xf>
    <xf numFmtId="0" fontId="4" fillId="5" borderId="6" applyAlignment="1" pivotButton="0" quotePrefix="0" xfId="0">
      <alignment horizontal="left" vertical="center" wrapText="1"/>
    </xf>
    <xf numFmtId="0" fontId="4" fillId="5" borderId="7" applyAlignment="1" pivotButton="0" quotePrefix="0" xfId="0">
      <alignment horizontal="left" vertical="center" wrapText="1"/>
    </xf>
    <xf numFmtId="164" fontId="6" fillId="6" borderId="1" applyAlignment="1" pivotButton="0" quotePrefix="0" xfId="0">
      <alignment horizontal="center" vertical="center" wrapText="1"/>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3" applyAlignment="1" pivotButton="0" quotePrefix="0" xfId="0">
      <alignment horizontal="center" vertical="center"/>
    </xf>
    <xf numFmtId="49" fontId="0" fillId="0" borderId="1" applyAlignment="1" pivotButton="0" quotePrefix="0" xfId="0">
      <alignment horizontal="center" vertical="center"/>
    </xf>
    <xf numFmtId="165" fontId="0" fillId="8" borderId="1" applyAlignment="1" pivotButton="0" quotePrefix="0" xfId="0">
      <alignment horizontal="right" vertical="center"/>
    </xf>
    <xf numFmtId="49" fontId="0" fillId="10" borderId="1" applyAlignment="1" pivotButton="0" quotePrefix="0" xfId="0">
      <alignment horizontal="center" vertical="center" wrapText="1"/>
    </xf>
    <xf numFmtId="49" fontId="0" fillId="10" borderId="1" applyAlignment="1" pivotButton="0" quotePrefix="0" xfId="0">
      <alignment horizontal="center" vertical="center"/>
    </xf>
    <xf numFmtId="49" fontId="0" fillId="9" borderId="1" applyAlignment="1" pivotButton="0" quotePrefix="0" xfId="0">
      <alignment horizontal="center" vertical="center" wrapText="1"/>
    </xf>
    <xf numFmtId="0" fontId="11" fillId="0" borderId="3" applyAlignment="1" pivotButton="0" quotePrefix="0" xfId="0">
      <alignment vertical="center"/>
    </xf>
    <xf numFmtId="0" fontId="7" fillId="0" borderId="0" applyAlignment="1" pivotButton="0" quotePrefix="0" xfId="0">
      <alignment vertical="center"/>
    </xf>
    <xf numFmtId="0" fontId="0" fillId="0" borderId="0" pivotButton="0" quotePrefix="0" xfId="0"/>
    <xf numFmtId="0" fontId="0" fillId="0" borderId="3" pivotButton="0" quotePrefix="0" xfId="0"/>
    <xf numFmtId="0" fontId="0" fillId="0" borderId="3" applyProtection="1" pivotButton="0" quotePrefix="0" xfId="0">
      <protection locked="0" hidden="0"/>
    </xf>
    <xf numFmtId="171" fontId="41" fillId="18" borderId="0" applyAlignment="1" applyProtection="1" pivotButton="0" quotePrefix="0" xfId="0">
      <alignment horizontal="left" vertical="center"/>
      <protection locked="0" hidden="0"/>
    </xf>
    <xf numFmtId="171" fontId="36" fillId="0" borderId="0" applyAlignment="1" pivotButton="0" quotePrefix="0" xfId="0">
      <alignment horizontal="left" vertical="center"/>
    </xf>
    <xf numFmtId="0" fontId="0" fillId="0" borderId="9" pivotButton="0" quotePrefix="0" xfId="0"/>
    <xf numFmtId="0" fontId="0" fillId="0" borderId="10" pivotButton="0" quotePrefix="0" xfId="0"/>
    <xf numFmtId="0" fontId="4" fillId="5" borderId="31" applyAlignment="1" pivotButton="0" quotePrefix="0" xfId="0">
      <alignment vertical="top" shrinkToFit="1"/>
    </xf>
    <xf numFmtId="0" fontId="0" fillId="0" borderId="11" pivotButton="0" quotePrefix="0" xfId="0"/>
    <xf numFmtId="0" fontId="0" fillId="0" borderId="4" pivotButton="0" quotePrefix="0" xfId="0"/>
    <xf numFmtId="0" fontId="4" fillId="5" borderId="32"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6" fillId="2" borderId="1" applyAlignment="1" applyProtection="1" pivotButton="0" quotePrefix="0" xfId="0">
      <alignment vertical="top" wrapText="1"/>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6" fillId="2" borderId="5" applyAlignment="1" applyProtection="1" pivotButton="0" quotePrefix="0" xfId="0">
      <alignment vertical="top" wrapText="1"/>
      <protection locked="0" hidden="0"/>
    </xf>
    <xf numFmtId="3" fontId="6" fillId="2" borderId="1" applyAlignment="1" applyProtection="1" pivotButton="0" quotePrefix="0" xfId="0">
      <alignment vertical="top" wrapText="1"/>
      <protection locked="0" hidden="0"/>
    </xf>
    <xf numFmtId="3" fontId="6" fillId="0" borderId="1" applyAlignment="1" applyProtection="1" pivotButton="0" quotePrefix="0" xfId="0">
      <alignment horizontal="right" vertical="center"/>
      <protection locked="0" hidden="0"/>
    </xf>
    <xf numFmtId="0" fontId="20" fillId="0"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0" fillId="0" borderId="0" applyAlignment="1" pivotButton="0" quotePrefix="0" xfId="0">
      <alignment vertical="top" wrapText="1"/>
    </xf>
    <xf numFmtId="3" fontId="0" fillId="0" borderId="0" applyAlignment="1" pivotButton="0" quotePrefix="0" xfId="0">
      <alignment horizontal="right" vertical="center"/>
    </xf>
    <xf numFmtId="0" fontId="4" fillId="6" borderId="1" applyAlignment="1" pivotButton="0" quotePrefix="0" xfId="0">
      <alignment horizontal="left" vertical="center" wrapText="1"/>
    </xf>
    <xf numFmtId="0" fontId="0" fillId="0" borderId="6" pivotButton="0" quotePrefix="0" xfId="0"/>
    <xf numFmtId="0" fontId="0" fillId="0" borderId="7" pivotButton="0" quotePrefix="0" xfId="0"/>
    <xf numFmtId="164" fontId="6" fillId="6" borderId="1" applyAlignment="1" pivotButton="0" quotePrefix="0" xfId="0">
      <alignment horizontal="right" vertical="center" wrapText="1"/>
    </xf>
    <xf numFmtId="0" fontId="4" fillId="6" borderId="1" applyAlignment="1" pivotButton="0" quotePrefix="0" xfId="0">
      <alignment horizontal="left" vertical="top" wrapText="1"/>
    </xf>
    <xf numFmtId="165" fontId="6" fillId="0" borderId="1" applyAlignment="1" applyProtection="1" pivotButton="0" quotePrefix="0" xfId="0">
      <alignment horizontal="right" vertical="center" wrapText="1"/>
      <protection locked="0" hidden="0"/>
    </xf>
    <xf numFmtId="170" fontId="24" fillId="7" borderId="0" applyAlignment="1" pivotButton="0" quotePrefix="0" xfId="1">
      <alignment horizontal="center" vertical="center"/>
    </xf>
    <xf numFmtId="164" fontId="13" fillId="3" borderId="1" applyAlignment="1" pivotButton="0" quotePrefix="0" xfId="0">
      <alignment horizontal="right" vertical="center"/>
    </xf>
    <xf numFmtId="164" fontId="22" fillId="3" borderId="0" applyAlignment="1" pivotButton="0" quotePrefix="0" xfId="0">
      <alignment horizontal="center" vertical="center"/>
    </xf>
    <xf numFmtId="165" fontId="6" fillId="5" borderId="1" applyAlignment="1" pivotButton="0" quotePrefix="0" xfId="0">
      <alignment horizontal="right" vertical="center" wrapText="1"/>
    </xf>
    <xf numFmtId="164" fontId="13" fillId="3" borderId="0" applyAlignment="1" applyProtection="1" pivotButton="0" quotePrefix="0" xfId="0">
      <alignment horizontal="right" vertical="center"/>
      <protection locked="1" hidden="1"/>
    </xf>
    <xf numFmtId="164" fontId="22" fillId="3" borderId="0" applyAlignment="1" applyProtection="1" pivotButton="0" quotePrefix="0" xfId="0">
      <alignment horizontal="center" vertical="center"/>
      <protection locked="1" hidden="1"/>
    </xf>
    <xf numFmtId="164" fontId="13" fillId="0" borderId="0" applyAlignment="1" applyProtection="1" pivotButton="0" quotePrefix="0" xfId="0">
      <alignment horizontal="right" vertical="top"/>
      <protection locked="1" hidden="1"/>
    </xf>
    <xf numFmtId="164" fontId="6" fillId="6" borderId="1" applyAlignment="1" pivotButton="0" quotePrefix="0" xfId="0">
      <alignment horizontal="center" vertical="center" wrapText="1"/>
    </xf>
    <xf numFmtId="0" fontId="4" fillId="5" borderId="1" applyAlignment="1" pivotButton="0" quotePrefix="0" xfId="0">
      <alignment horizontal="center" vertical="top" wrapText="1"/>
    </xf>
    <xf numFmtId="164" fontId="6" fillId="0" borderId="1" applyAlignment="1" applyProtection="1" pivotButton="0" quotePrefix="0" xfId="0">
      <alignment horizontal="right" vertical="top" wrapText="1"/>
      <protection locked="0" hidden="0"/>
    </xf>
    <xf numFmtId="0" fontId="8" fillId="0" borderId="2" applyAlignment="1" pivotButton="0" quotePrefix="0" xfId="0">
      <alignment horizontal="center" vertical="top" wrapText="1"/>
    </xf>
    <xf numFmtId="165" fontId="6" fillId="0" borderId="1" applyAlignment="1" applyProtection="1" pivotButton="0" quotePrefix="0" xfId="0">
      <alignment horizontal="right" vertical="top" wrapText="1"/>
      <protection locked="0" hidden="0"/>
    </xf>
    <xf numFmtId="164" fontId="6" fillId="0" borderId="1" applyAlignment="1" pivotButton="0" quotePrefix="0" xfId="0">
      <alignment horizontal="right" vertical="top" wrapText="1"/>
    </xf>
    <xf numFmtId="0" fontId="6" fillId="0" borderId="1" applyAlignment="1" applyProtection="1" pivotButton="0" quotePrefix="0" xfId="0">
      <alignment horizontal="left" vertical="top" wrapText="1"/>
      <protection locked="0" hidden="0"/>
    </xf>
    <xf numFmtId="167" fontId="0" fillId="15" borderId="1" applyAlignment="1" pivotButton="0" quotePrefix="0" xfId="0">
      <alignment vertical="center"/>
    </xf>
    <xf numFmtId="166" fontId="0" fillId="0" borderId="0" applyAlignment="1" pivotButton="0" quotePrefix="0" xfId="0">
      <alignment vertical="center"/>
    </xf>
    <xf numFmtId="165" fontId="0" fillId="8" borderId="1" applyAlignment="1" pivotButton="0" quotePrefix="0" xfId="0">
      <alignment vertical="center"/>
    </xf>
    <xf numFmtId="166" fontId="25" fillId="0" borderId="0" applyAlignment="1" pivotButton="0" quotePrefix="0" xfId="0">
      <alignment vertical="center"/>
    </xf>
    <xf numFmtId="166" fontId="0" fillId="9" borderId="5" applyAlignment="1" pivotButton="0" quotePrefix="0" xfId="0">
      <alignment vertical="center"/>
    </xf>
    <xf numFmtId="166" fontId="0" fillId="10" borderId="1" applyAlignment="1" pivotButton="0" quotePrefix="0" xfId="0">
      <alignment vertical="center"/>
    </xf>
    <xf numFmtId="166" fontId="0" fillId="9" borderId="1" applyAlignment="1" pivotButton="0" quotePrefix="0" xfId="0">
      <alignment vertical="center"/>
    </xf>
    <xf numFmtId="0" fontId="0" fillId="0" borderId="12" pivotButton="0" quotePrefix="0" xfId="0"/>
    <xf numFmtId="165" fontId="0" fillId="8" borderId="1" applyAlignment="1" pivotButton="0" quotePrefix="0" xfId="0">
      <alignment horizontal="right" vertical="center"/>
    </xf>
    <xf numFmtId="166" fontId="0" fillId="0" borderId="5" applyAlignment="1" pivotButton="0" quotePrefix="0" xfId="0">
      <alignment vertical="center"/>
    </xf>
    <xf numFmtId="166" fontId="0" fillId="0" borderId="1" applyAlignment="1" pivotButton="0" quotePrefix="0" xfId="0">
      <alignment vertical="center"/>
    </xf>
    <xf numFmtId="168" fontId="0" fillId="0" borderId="0" applyAlignment="1" pivotButton="0" quotePrefix="0" xfId="0">
      <alignment vertical="center"/>
    </xf>
    <xf numFmtId="169" fontId="0" fillId="0" borderId="5" applyAlignment="1" pivotButton="0" quotePrefix="0" xfId="0">
      <alignment vertical="center"/>
    </xf>
    <xf numFmtId="169" fontId="0" fillId="0" borderId="1" applyAlignment="1" pivotButton="0" quotePrefix="0" xfId="0">
      <alignment vertical="center"/>
    </xf>
    <xf numFmtId="0" fontId="0" fillId="0" borderId="32" pivotButton="0" quotePrefix="0" xfId="0"/>
    <xf numFmtId="166" fontId="0" fillId="10" borderId="5" applyAlignment="1" pivotButton="0" quotePrefix="0" xfId="0">
      <alignment vertical="center"/>
    </xf>
    <xf numFmtId="166" fontId="0" fillId="10" borderId="1" applyAlignment="1" pivotButton="0" quotePrefix="0" xfId="0">
      <alignment vertical="center" wrapText="1"/>
    </xf>
    <xf numFmtId="166" fontId="29" fillId="0" borderId="1" applyAlignment="1" pivotButton="0" quotePrefix="0" xfId="0">
      <alignment vertical="center"/>
    </xf>
    <xf numFmtId="169" fontId="29" fillId="0" borderId="1" applyAlignment="1" pivotButton="0" quotePrefix="0" xfId="0">
      <alignment vertical="center"/>
    </xf>
    <xf numFmtId="166" fontId="0" fillId="11" borderId="3" applyAlignment="1" pivotButton="0" quotePrefix="0" xfId="0">
      <alignment vertical="center"/>
    </xf>
    <xf numFmtId="166" fontId="0" fillId="11" borderId="27" applyAlignment="1" pivotButton="0" quotePrefix="0" xfId="0">
      <alignment vertical="center"/>
    </xf>
    <xf numFmtId="166" fontId="0" fillId="11" borderId="1" applyAlignment="1" pivotButton="0" quotePrefix="0" xfId="0">
      <alignment vertical="center"/>
    </xf>
    <xf numFmtId="166" fontId="20" fillId="0" borderId="1" applyAlignment="1" pivotButton="0" quotePrefix="0" xfId="0">
      <alignment vertical="center"/>
    </xf>
    <xf numFmtId="166" fontId="0" fillId="12" borderId="6" applyAlignment="1" pivotButton="0" quotePrefix="0" xfId="0">
      <alignment vertical="center"/>
    </xf>
    <xf numFmtId="165" fontId="0" fillId="0" borderId="26" applyAlignment="1" pivotButton="0" quotePrefix="0" xfId="0">
      <alignment vertical="center"/>
    </xf>
    <xf numFmtId="165" fontId="0" fillId="0" borderId="0" applyAlignment="1" pivotButton="0" quotePrefix="0" xfId="0">
      <alignment vertical="center"/>
    </xf>
    <xf numFmtId="169" fontId="20" fillId="0" borderId="1" applyAlignment="1" pivotButton="0" quotePrefix="0" xfId="0">
      <alignment vertical="center"/>
    </xf>
    <xf numFmtId="166" fontId="0" fillId="12" borderId="1" applyAlignment="1" pivotButton="0" quotePrefix="0" xfId="0">
      <alignment vertical="center"/>
    </xf>
    <xf numFmtId="165" fontId="0" fillId="0" borderId="1" applyAlignment="1" pivotButton="0" quotePrefix="0" xfId="0">
      <alignment vertical="center"/>
    </xf>
    <xf numFmtId="169" fontId="0" fillId="12" borderId="1" applyAlignment="1" pivotButton="0" quotePrefix="0" xfId="0">
      <alignment vertical="center"/>
    </xf>
    <xf numFmtId="165" fontId="0" fillId="16" borderId="1" applyAlignment="1" pivotButton="0" quotePrefix="0" xfId="0">
      <alignment vertical="center"/>
    </xf>
    <xf numFmtId="166" fontId="0" fillId="0" borderId="23" applyAlignment="1" pivotButton="0" quotePrefix="0" xfId="0">
      <alignment vertical="center"/>
    </xf>
    <xf numFmtId="166" fontId="0" fillId="0" borderId="18" applyAlignment="1" pivotButton="0" quotePrefix="0" xfId="0">
      <alignment vertical="center"/>
    </xf>
    <xf numFmtId="166" fontId="0" fillId="6" borderId="1" applyAlignment="1" pivotButton="0" quotePrefix="0" xfId="0">
      <alignment vertical="center"/>
    </xf>
    <xf numFmtId="168" fontId="0" fillId="0" borderId="1" applyAlignment="1" pivotButton="0" quotePrefix="0" xfId="0">
      <alignment vertical="center"/>
    </xf>
  </cellXfs>
  <cellStyles count="2">
    <cellStyle name="標準" xfId="0" builtinId="0"/>
    <cellStyle name="桁区切り" xfId="1" builtinId="6"/>
  </cellStyles>
  <dxfs count="24">
    <dxf>
      <fill>
        <patternFill>
          <bgColor rgb="FFFF0000"/>
        </patternFill>
      </fill>
    </dxf>
    <dxf>
      <font>
        <b val="1"/>
        <color rgb="FFFF0000"/>
      </font>
    </dxf>
    <dxf>
      <font>
        <strike val="0"/>
        <color rgb="FFFF0000"/>
      </font>
      <border>
        <left style="thin">
          <color rgb="FFFF0000"/>
        </left>
        <right style="thin">
          <color rgb="FFFF0000"/>
        </right>
        <top style="thin">
          <color rgb="FFFF0000"/>
        </top>
        <bottom style="thin">
          <color rgb="FFFF0000"/>
        </bottom>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DG54"/>
  <sheetViews>
    <sheetView showGridLines="0" tabSelected="1" view="pageBreakPreview" zoomScale="115" zoomScaleNormal="115" zoomScaleSheetLayoutView="115" workbookViewId="0">
      <selection activeCell="AN4" sqref="AN4"/>
    </sheetView>
  </sheetViews>
  <sheetFormatPr baseColWidth="8" defaultColWidth="0" defaultRowHeight="13.15"/>
  <cols>
    <col width="2.42578125" customWidth="1" style="249" min="1" max="26"/>
    <col width="2.7109375" customWidth="1" style="249" min="27" max="30"/>
    <col width="2.42578125" customWidth="1" style="249" min="31" max="35"/>
    <col width="3.28515625" customWidth="1" style="249" min="36" max="37"/>
    <col width="1.140625" customWidth="1" style="249" min="38" max="38"/>
    <col width="15.28515625" customWidth="1" style="249" min="39" max="39"/>
    <col width="20.7109375" customWidth="1" style="249" min="40" max="40"/>
    <col width="15.7109375" customWidth="1" style="249" min="41" max="41"/>
    <col width="15.28515625" customWidth="1" style="249" min="42" max="42"/>
    <col width="4.7109375" customWidth="1" style="249" min="43" max="43"/>
    <col width="15.28515625" customWidth="1" style="249" min="44" max="44"/>
    <col width="1.7109375" customWidth="1" style="249" min="45" max="45"/>
    <col hidden="1" width="2.28515625" customWidth="1" style="249" min="46" max="52"/>
    <col hidden="1" width="9.140625" customWidth="1" style="249" min="53" max="107"/>
    <col hidden="1" width="3.42578125" customWidth="1" style="249" min="108" max="111"/>
    <col hidden="1" width="9.140625" customWidth="1" style="249" min="112" max="16383"/>
    <col hidden="1" width="12.140625" customWidth="1" style="249" min="16384" max="16384"/>
  </cols>
  <sheetData>
    <row r="1" ht="19.5" customHeight="1" s="249">
      <c r="A1" s="125" t="inlineStr">
        <is>
          <t>【創業型】</t>
        </is>
      </c>
      <c r="AJ1" s="2" t="inlineStr">
        <is>
          <t>（様式３）</t>
        </is>
      </c>
    </row>
    <row r="2" ht="19.15" customHeight="1" s="249">
      <c r="A2" s="2" t="n"/>
      <c r="AM2" s="148" t="inlineStr">
        <is>
          <t xml:space="preserve">　 ※補助上限額は、通常の場合は２００万円まで、</t>
        </is>
      </c>
    </row>
    <row r="3" ht="19.5" customHeight="1" s="249" thickBot="1">
      <c r="Q3" s="3" t="inlineStr">
        <is>
          <t>補助事業計画書②【経費明細表・資金調達方法】</t>
        </is>
      </c>
      <c r="AM3" s="148" t="inlineStr">
        <is>
          <t xml:space="preserve">　　 インボイス特例希望の場合は２５０万円までを選択してください。</t>
        </is>
      </c>
    </row>
    <row r="4" ht="19.5" customHeight="1" s="249" thickBot="1">
      <c r="A4" s="3" t="n"/>
      <c r="AM4" s="148" t="n"/>
      <c r="AN4" s="136" t="n"/>
      <c r="AO4" s="133" t="inlineStr">
        <is>
          <t>←補助上限額を選択</t>
        </is>
      </c>
      <c r="AP4" s="156" t="n"/>
      <c r="AQ4" s="156" t="n"/>
      <c r="AR4" s="156" t="n"/>
      <c r="AS4" s="156" t="n"/>
      <c r="AT4" s="156" t="n"/>
      <c r="AU4" s="156" t="n"/>
      <c r="AV4" s="156" t="n"/>
    </row>
    <row r="5" ht="19.5" customHeight="1" s="249">
      <c r="G5" s="4" t="n"/>
      <c r="S5" s="247" t="inlineStr">
        <is>
          <t>名　称：</t>
        </is>
      </c>
      <c r="T5" s="250" t="n"/>
      <c r="U5" s="250" t="n"/>
      <c r="V5" s="172" t="n"/>
      <c r="W5" s="251" t="n"/>
      <c r="X5" s="251" t="n"/>
      <c r="Y5" s="251" t="n"/>
      <c r="Z5" s="251" t="n"/>
      <c r="AA5" s="251" t="n"/>
      <c r="AB5" s="251" t="n"/>
      <c r="AC5" s="251" t="n"/>
      <c r="AD5" s="251" t="n"/>
      <c r="AE5" s="251" t="n"/>
      <c r="AF5" s="251" t="n"/>
      <c r="AG5" s="251" t="n"/>
      <c r="AH5" s="251" t="n"/>
      <c r="AI5" s="251" t="n"/>
      <c r="AJ5" s="251" t="n"/>
      <c r="AM5" s="134" t="n"/>
      <c r="AN5" s="252" t="n"/>
      <c r="AO5" s="138" t="inlineStr">
        <is>
          <t>←採択後の補助上限額を入力</t>
        </is>
      </c>
      <c r="AP5" s="156" t="n"/>
      <c r="AQ5" s="156" t="n"/>
      <c r="AR5" s="156" t="n"/>
      <c r="AS5" s="156" t="n"/>
      <c r="AT5" s="156" t="n"/>
      <c r="AU5" s="156" t="n"/>
      <c r="AV5" s="156" t="n"/>
      <c r="AW5" s="156" t="n"/>
    </row>
    <row r="6" ht="19.5" customHeight="1" s="249">
      <c r="A6" s="5" t="n"/>
      <c r="AM6" s="160" t="inlineStr">
        <is>
          <t xml:space="preserve">　 補助上限額    ⇒</t>
        </is>
      </c>
      <c r="AO6" s="253">
        <f t="array" ref="AO6">_xlfn.SWITCH(AN4,"ｲﾝﾎﾞｲｽ特例→２５０万",2500000,"通常→２００万円",2000000,"採択後金額入力",AN5,0)</f>
        <v/>
      </c>
      <c r="AP6" s="156" t="n"/>
      <c r="AQ6" s="156" t="n"/>
      <c r="AR6" s="156" t="n"/>
      <c r="AS6" s="156" t="n"/>
      <c r="AT6" s="156" t="n"/>
      <c r="AU6" s="156" t="n"/>
      <c r="AV6" s="156" t="n"/>
      <c r="AW6" s="156" t="n"/>
    </row>
    <row r="7" ht="16.35" customHeight="1" s="249">
      <c r="A7" s="6" t="inlineStr">
        <is>
          <t>Ⅱ．経費明細表【必須記入】</t>
        </is>
      </c>
      <c r="AP7" s="128" t="n"/>
    </row>
    <row r="8" ht="19.15" customHeight="1" s="249">
      <c r="AJ8" s="7" t="inlineStr">
        <is>
          <t>（単位：円）</t>
        </is>
      </c>
      <c r="AL8" s="155" t="n"/>
      <c r="AM8" s="126" t="inlineStr">
        <is>
          <t xml:space="preserve">　 判定　⇒</t>
        </is>
      </c>
      <c r="AN8" s="150">
        <f>ExpenseCategoryList!E41</f>
        <v/>
      </c>
    </row>
    <row r="9" ht="16.35" customHeight="1" s="249">
      <c r="A9" s="194" t="inlineStr">
        <is>
          <t>経費区分</t>
        </is>
      </c>
      <c r="B9" s="254" t="n"/>
      <c r="C9" s="254" t="n"/>
      <c r="D9" s="254" t="n"/>
      <c r="E9" s="254" t="n"/>
      <c r="F9" s="255" t="n"/>
      <c r="G9" s="191" t="inlineStr">
        <is>
          <t>内容・必要理由</t>
        </is>
      </c>
      <c r="H9" s="254" t="n"/>
      <c r="I9" s="254" t="n"/>
      <c r="J9" s="254" t="n"/>
      <c r="K9" s="254" t="n"/>
      <c r="L9" s="254" t="n"/>
      <c r="M9" s="254" t="n"/>
      <c r="N9" s="254" t="n"/>
      <c r="O9" s="254" t="n"/>
      <c r="P9" s="254" t="n"/>
      <c r="Q9" s="254" t="n"/>
      <c r="R9" s="254" t="n"/>
      <c r="S9" s="254" t="n"/>
      <c r="T9" s="254" t="n"/>
      <c r="U9" s="254" t="n"/>
      <c r="V9" s="216" t="inlineStr">
        <is>
          <t>経費内訳
（単価×回数）</t>
        </is>
      </c>
      <c r="W9" s="254" t="n"/>
      <c r="X9" s="254" t="n"/>
      <c r="Y9" s="254" t="n"/>
      <c r="Z9" s="254" t="n"/>
      <c r="AA9" s="254" t="n"/>
      <c r="AB9" s="254" t="n"/>
      <c r="AC9" s="254" t="n"/>
      <c r="AD9" s="255" t="n"/>
      <c r="AE9" s="256" t="inlineStr">
        <is>
          <t>補助対象経費</t>
        </is>
      </c>
      <c r="AF9" s="254" t="n"/>
      <c r="AG9" s="254" t="n"/>
      <c r="AH9" s="254" t="n"/>
      <c r="AI9" s="254" t="n"/>
      <c r="AJ9" s="255" t="n"/>
      <c r="AK9" s="13" t="n"/>
      <c r="AL9" s="155" t="inlineStr">
        <is>
          <t xml:space="preserve">　補助対象経費の「(税抜)／(税込)」選択欄は初期表示では空欄です。</t>
        </is>
      </c>
    </row>
    <row r="10" ht="16.35" customHeight="1" s="249">
      <c r="A10" s="257" t="n"/>
      <c r="B10" s="250" t="n"/>
      <c r="C10" s="250" t="n"/>
      <c r="D10" s="250" t="n"/>
      <c r="E10" s="250" t="n"/>
      <c r="F10" s="258" t="n"/>
      <c r="G10" s="257" t="n"/>
      <c r="H10" s="250" t="n"/>
      <c r="I10" s="250" t="n"/>
      <c r="J10" s="250" t="n"/>
      <c r="K10" s="250" t="n"/>
      <c r="L10" s="250" t="n"/>
      <c r="M10" s="250" t="n"/>
      <c r="N10" s="250" t="n"/>
      <c r="O10" s="250" t="n"/>
      <c r="P10" s="250" t="n"/>
      <c r="Q10" s="250" t="n"/>
      <c r="R10" s="250" t="n"/>
      <c r="S10" s="250" t="n"/>
      <c r="T10" s="250" t="n"/>
      <c r="U10" s="250" t="n"/>
      <c r="V10" s="257" t="n"/>
      <c r="W10" s="250" t="n"/>
      <c r="X10" s="250" t="n"/>
      <c r="Y10" s="250" t="n"/>
      <c r="Z10" s="250" t="n"/>
      <c r="AA10" s="250" t="n"/>
      <c r="AB10" s="250" t="n"/>
      <c r="AC10" s="250" t="n"/>
      <c r="AD10" s="258" t="n"/>
      <c r="AE10" s="259" t="inlineStr">
        <is>
          <t xml:space="preserve">　</t>
        </is>
      </c>
      <c r="AF10" s="251" t="n"/>
      <c r="AG10" s="251" t="n"/>
      <c r="AH10" s="251" t="n"/>
      <c r="AI10" s="251" t="n"/>
      <c r="AJ10" s="260" t="n"/>
      <c r="AK10" s="13" t="n"/>
      <c r="AL10" s="156" t="inlineStr">
        <is>
          <t xml:space="preserve">　←プルダウンから「(税抜)／(税込)」のいずれかを選択ください</t>
        </is>
      </c>
    </row>
    <row r="11" ht="25.9" customFormat="1" customHeight="1" s="11">
      <c r="A11" s="261" t="inlineStr">
        <is>
          <t>⑧委託・外注費
漫画制作費
【企画・シナリオ作成】</t>
        </is>
      </c>
      <c r="B11" s="262" t="n"/>
      <c r="C11" s="262" t="n"/>
      <c r="D11" s="262" t="n"/>
      <c r="E11" s="262" t="n"/>
      <c r="F11" s="263" t="n"/>
      <c r="G11" s="264" t="inlineStr">
        <is>
          <t>ターゲット分析、ストーリー構成、セリフ・コンテ作成。伴走支援「OToMo」のサービス価値を分かりやすく伝えるための漫画パンフレット企画。発注先:漫画広告制作専門業者</t>
        </is>
      </c>
      <c r="H11" s="262" t="n"/>
      <c r="I11" s="262" t="n"/>
      <c r="J11" s="262" t="n"/>
      <c r="K11" s="262" t="n"/>
      <c r="L11" s="262" t="n"/>
      <c r="M11" s="262" t="n"/>
      <c r="N11" s="262" t="n"/>
      <c r="O11" s="262" t="n"/>
      <c r="P11" s="262" t="n"/>
      <c r="Q11" s="262" t="n"/>
      <c r="R11" s="262" t="n"/>
      <c r="S11" s="262" t="n"/>
      <c r="T11" s="262" t="n"/>
      <c r="U11" s="262" t="n"/>
      <c r="V11" s="265" t="inlineStr">
        <is>
          <t>80,000円×1式</t>
        </is>
      </c>
      <c r="W11" s="262" t="n"/>
      <c r="X11" s="262" t="n"/>
      <c r="Y11" s="262" t="n"/>
      <c r="Z11" s="262" t="n"/>
      <c r="AA11" s="262" t="n"/>
      <c r="AB11" s="262" t="n"/>
      <c r="AC11" s="262" t="n"/>
      <c r="AD11" s="263" t="n"/>
      <c r="AE11" s="266" t="n">
        <v>80000</v>
      </c>
      <c r="AF11" s="262" t="n"/>
      <c r="AG11" s="262" t="n"/>
      <c r="AH11" s="262" t="n"/>
      <c r="AI11" s="262" t="n"/>
      <c r="AJ11" s="263" t="n"/>
      <c r="AK11" s="18" t="n"/>
      <c r="AL11" s="83" t="inlineStr">
        <is>
          <t>(税込)</t>
        </is>
      </c>
      <c r="DD11" s="11">
        <f>IF($A11="",IF(OR($G11&lt;&gt;"",$V11&lt;&gt;"",$AE11&gt;0),"×","〇"),"〇")</f>
        <v/>
      </c>
      <c r="DE11" s="11">
        <f>IF($G11="",IF(OR($A11&lt;&gt;"",$V11&lt;&gt;"",$AE11&gt;0),"×","〇"),"〇")</f>
        <v/>
      </c>
      <c r="DF11" s="11">
        <f>IF($V11="",IF(OR($A11&lt;&gt;"",$G11&lt;&gt;"",$AE11&gt;0),"×","〇"),"〇")</f>
        <v/>
      </c>
      <c r="DG11" s="11">
        <f>IF($AE11&lt;1,IF(OR($A11&lt;&gt;"",$G11&lt;&gt;"",$V11&lt;&gt;""),"×","〇"),"〇")</f>
        <v/>
      </c>
    </row>
    <row r="12" ht="25.9" customFormat="1" customHeight="1" s="11">
      <c r="A12" s="261" t="inlineStr">
        <is>
          <t>⑧委託・外注費
漫画制作費
【キャラクターデザイン】</t>
        </is>
      </c>
      <c r="B12" s="262" t="n"/>
      <c r="C12" s="262" t="n"/>
      <c r="D12" s="262" t="n"/>
      <c r="E12" s="262" t="n"/>
      <c r="F12" s="263" t="n"/>
      <c r="G12" s="264" t="inlineStr">
        <is>
          <t>主要キャラクター3体(社長、従業員、デジ研スタッフ)のデザイン。表情差分・ポーズ差分制作、カラー設定。発注先:漫画広告制作専門業者</t>
        </is>
      </c>
      <c r="H12" s="262" t="n"/>
      <c r="I12" s="262" t="n"/>
      <c r="J12" s="262" t="n"/>
      <c r="K12" s="262" t="n"/>
      <c r="L12" s="262" t="n"/>
      <c r="M12" s="262" t="n"/>
      <c r="N12" s="262" t="n"/>
      <c r="O12" s="262" t="n"/>
      <c r="P12" s="262" t="n"/>
      <c r="Q12" s="262" t="n"/>
      <c r="R12" s="262" t="n"/>
      <c r="S12" s="262" t="n"/>
      <c r="T12" s="262" t="n"/>
      <c r="U12" s="262" t="n"/>
      <c r="V12" s="265" t="inlineStr">
        <is>
          <t>200,000円×1式</t>
        </is>
      </c>
      <c r="W12" s="262" t="n"/>
      <c r="X12" s="262" t="n"/>
      <c r="Y12" s="262" t="n"/>
      <c r="Z12" s="262" t="n"/>
      <c r="AA12" s="262" t="n"/>
      <c r="AB12" s="262" t="n"/>
      <c r="AC12" s="262" t="n"/>
      <c r="AD12" s="263" t="n"/>
      <c r="AE12" s="266" t="n">
        <v>200000</v>
      </c>
      <c r="AF12" s="262" t="n"/>
      <c r="AG12" s="262" t="n"/>
      <c r="AH12" s="262" t="n"/>
      <c r="AI12" s="262" t="n"/>
      <c r="AJ12" s="263" t="n"/>
      <c r="AK12" s="18" t="n"/>
      <c r="AL12" s="83" t="inlineStr">
        <is>
          <t>(税込)</t>
        </is>
      </c>
      <c r="DD12" s="11">
        <f>IF($A12="",IF(OR($G12&lt;&gt;"",$V12&lt;&gt;"",$AE12&gt;0),"×","〇"),"〇")</f>
        <v/>
      </c>
      <c r="DE12" s="11">
        <f>IF($G12="",IF(OR($A12&lt;&gt;"",$V12&lt;&gt;"",$AE12&gt;0),"×","〇"),"〇")</f>
        <v/>
      </c>
      <c r="DF12" s="11">
        <f>IF($V12="",IF(OR($A12&lt;&gt;"",$G12&lt;&gt;"",$AE12&gt;0),"×","〇"),"〇")</f>
        <v/>
      </c>
      <c r="DG12" s="11">
        <f>IF($AE12&lt;1,IF(OR($A12&lt;&gt;"",$G12&lt;&gt;"",$V12&lt;&gt;""),"×","〇"),"〇")</f>
        <v/>
      </c>
    </row>
    <row r="13" ht="25.9" customFormat="1" customHeight="1" s="11">
      <c r="A13" s="261" t="inlineStr">
        <is>
          <t>⑧委託・外注費
漫画制作費
【漫画作画（10ページ）】</t>
        </is>
      </c>
      <c r="B13" s="262" t="n"/>
      <c r="C13" s="262" t="n"/>
      <c r="D13" s="262" t="n"/>
      <c r="E13" s="262" t="n"/>
      <c r="F13" s="263" t="n"/>
      <c r="G13" s="264" t="inlineStr">
        <is>
          <t>ネーム作成・下書き・ペン入れ・トーン・仕上げ。ページ単価40,000円×10ページ。導入企業のストーリーを漫画化。発注先:漫画広告制作専門業者</t>
        </is>
      </c>
      <c r="H13" s="262" t="n"/>
      <c r="I13" s="262" t="n"/>
      <c r="J13" s="262" t="n"/>
      <c r="K13" s="262" t="n"/>
      <c r="L13" s="262" t="n"/>
      <c r="M13" s="262" t="n"/>
      <c r="N13" s="262" t="n"/>
      <c r="O13" s="262" t="n"/>
      <c r="P13" s="262" t="n"/>
      <c r="Q13" s="262" t="n"/>
      <c r="R13" s="262" t="n"/>
      <c r="S13" s="262" t="n"/>
      <c r="T13" s="262" t="n"/>
      <c r="U13" s="262" t="n"/>
      <c r="V13" s="265" t="inlineStr">
        <is>
          <t>40,000円×10ページ</t>
        </is>
      </c>
      <c r="W13" s="262" t="n"/>
      <c r="X13" s="262" t="n"/>
      <c r="Y13" s="262" t="n"/>
      <c r="Z13" s="262" t="n"/>
      <c r="AA13" s="262" t="n"/>
      <c r="AB13" s="262" t="n"/>
      <c r="AC13" s="262" t="n"/>
      <c r="AD13" s="263" t="n"/>
      <c r="AE13" s="266" t="n">
        <v>400000</v>
      </c>
      <c r="AF13" s="262" t="n"/>
      <c r="AG13" s="262" t="n"/>
      <c r="AH13" s="262" t="n"/>
      <c r="AI13" s="262" t="n"/>
      <c r="AJ13" s="263" t="n"/>
      <c r="AK13" s="18" t="n"/>
      <c r="AL13" s="83" t="inlineStr">
        <is>
          <t>(税込)</t>
        </is>
      </c>
      <c r="DD13" s="11">
        <f>IF($A13="",IF(OR($G13&lt;&gt;"",$V13&lt;&gt;"",$AE13&gt;0),"×","〇"),"〇")</f>
        <v/>
      </c>
      <c r="DE13" s="11">
        <f>IF($G13="",IF(OR($A13&lt;&gt;"",$V13&lt;&gt;"",$AE13&gt;0),"×","〇"),"〇")</f>
        <v/>
      </c>
      <c r="DF13" s="11">
        <f>IF($V13="",IF(OR($A13&lt;&gt;"",$G13&lt;&gt;"",$AE13&gt;0),"×","〇"),"〇")</f>
        <v/>
      </c>
      <c r="DG13" s="11">
        <f>IF($AE13&lt;1,IF(OR($A13&lt;&gt;"",$G13&lt;&gt;"",$V13&lt;&gt;""),"×","〇"),"〇")</f>
        <v/>
      </c>
    </row>
    <row r="14" ht="25.9" customFormat="1" customHeight="1" s="11">
      <c r="A14" s="261" t="inlineStr">
        <is>
          <t>⑧委託・外注費
漫画制作費
【編集・DTP・デザイン】</t>
        </is>
      </c>
      <c r="B14" s="262" t="n"/>
      <c r="C14" s="262" t="n"/>
      <c r="D14" s="262" t="n"/>
      <c r="E14" s="262" t="n"/>
      <c r="F14" s="263" t="n"/>
      <c r="G14" s="264" t="inlineStr">
        <is>
          <t>ページレイアウト、文字入れ・効果処理、表紙デザイン、印刷用データ作成。発注先:漫画広告制作専門業者</t>
        </is>
      </c>
      <c r="H14" s="262" t="n"/>
      <c r="I14" s="262" t="n"/>
      <c r="J14" s="262" t="n"/>
      <c r="K14" s="262" t="n"/>
      <c r="L14" s="262" t="n"/>
      <c r="M14" s="262" t="n"/>
      <c r="N14" s="262" t="n"/>
      <c r="O14" s="262" t="n"/>
      <c r="P14" s="262" t="n"/>
      <c r="Q14" s="262" t="n"/>
      <c r="R14" s="262" t="n"/>
      <c r="S14" s="262" t="n"/>
      <c r="T14" s="262" t="n"/>
      <c r="U14" s="262" t="n"/>
      <c r="V14" s="265" t="inlineStr">
        <is>
          <t>120,000円×1式</t>
        </is>
      </c>
      <c r="W14" s="262" t="n"/>
      <c r="X14" s="262" t="n"/>
      <c r="Y14" s="262" t="n"/>
      <c r="Z14" s="262" t="n"/>
      <c r="AA14" s="262" t="n"/>
      <c r="AB14" s="262" t="n"/>
      <c r="AC14" s="262" t="n"/>
      <c r="AD14" s="263" t="n"/>
      <c r="AE14" s="266" t="n">
        <v>120000</v>
      </c>
      <c r="AF14" s="262" t="n"/>
      <c r="AG14" s="262" t="n"/>
      <c r="AH14" s="262" t="n"/>
      <c r="AI14" s="262" t="n"/>
      <c r="AJ14" s="263" t="n"/>
      <c r="AK14" s="18" t="n"/>
      <c r="AL14" s="267" t="inlineStr">
        <is>
          <t>(税込)</t>
        </is>
      </c>
      <c r="AM14" s="268" t="n"/>
      <c r="AN14" s="268" t="n"/>
      <c r="AO14" s="268" t="n"/>
      <c r="AP14" s="268" t="n"/>
      <c r="AQ14" s="268" t="n"/>
      <c r="AR14" s="268" t="n"/>
      <c r="AS14" s="268" t="n"/>
      <c r="DD14" s="11">
        <f>IF($A14="",IF(OR($G14&lt;&gt;"",$V14&lt;&gt;"",$AE14&gt;0),"×","〇"),"〇")</f>
        <v/>
      </c>
      <c r="DE14" s="11">
        <f>IF($G14="",IF(OR($A14&lt;&gt;"",$V14&lt;&gt;"",$AE14&gt;0),"×","〇"),"〇")</f>
        <v/>
      </c>
      <c r="DF14" s="11">
        <f>IF($V14="",IF(OR($A14&lt;&gt;"",$G14&lt;&gt;"",$AE14&gt;0),"×","〇"),"〇")</f>
        <v/>
      </c>
      <c r="DG14" s="11">
        <f>IF($AE14&lt;1,IF(OR($A14&lt;&gt;"",$G14&lt;&gt;"",$V14&lt;&gt;""),"×","〇"),"〇")</f>
        <v/>
      </c>
    </row>
    <row r="15" ht="25.9" customFormat="1" customHeight="1" s="11">
      <c r="A15" s="261" t="inlineStr">
        <is>
          <t>②広報費
ノベルティ制作費</t>
        </is>
      </c>
      <c r="B15" s="262" t="n"/>
      <c r="C15" s="262" t="n"/>
      <c r="D15" s="262" t="n"/>
      <c r="E15" s="262" t="n"/>
      <c r="F15" s="263" t="n"/>
      <c r="G15" s="264" t="inlineStr">
        <is>
          <t>パンフレット配布時の同封用ノベルティ。約9,000個制作。手に取りやすくし、記憶に残りやすくするため。デザインはキャラクターを活用しブランド統一。優先地域(行田市、さいたま市、台東区等)への配布に使用。発注先:ノベルティ製造業者</t>
        </is>
      </c>
      <c r="H15" s="262" t="n"/>
      <c r="I15" s="262" t="n"/>
      <c r="J15" s="262" t="n"/>
      <c r="K15" s="262" t="n"/>
      <c r="L15" s="262" t="n"/>
      <c r="M15" s="262" t="n"/>
      <c r="N15" s="262" t="n"/>
      <c r="O15" s="262" t="n"/>
      <c r="P15" s="262" t="n"/>
      <c r="Q15" s="262" t="n"/>
      <c r="R15" s="262" t="n"/>
      <c r="S15" s="262" t="n"/>
      <c r="T15" s="262" t="n"/>
      <c r="U15" s="262" t="n"/>
      <c r="V15" s="265" t="inlineStr">
        <is>
          <t>700,000円×1式（約9,000個）</t>
        </is>
      </c>
      <c r="W15" s="262" t="n"/>
      <c r="X15" s="262" t="n"/>
      <c r="Y15" s="262" t="n"/>
      <c r="Z15" s="262" t="n"/>
      <c r="AA15" s="262" t="n"/>
      <c r="AB15" s="262" t="n"/>
      <c r="AC15" s="262" t="n"/>
      <c r="AD15" s="263" t="n"/>
      <c r="AE15" s="266" t="n">
        <v>700000</v>
      </c>
      <c r="AF15" s="262" t="n"/>
      <c r="AG15" s="262" t="n"/>
      <c r="AH15" s="262" t="n"/>
      <c r="AI15" s="262" t="n"/>
      <c r="AJ15" s="263" t="n"/>
      <c r="AK15" s="18" t="n"/>
      <c r="AL15" s="267" t="inlineStr">
        <is>
          <t>(税込)</t>
        </is>
      </c>
      <c r="AM15" s="24" t="n"/>
      <c r="AN15" s="24" t="n"/>
      <c r="AO15" s="24" t="n"/>
      <c r="AP15" s="24" t="n"/>
      <c r="AQ15" s="24" t="n"/>
      <c r="AR15" s="24" t="n"/>
      <c r="AS15" s="24" t="n"/>
      <c r="DD15" s="11">
        <f>IF($A15="",IF(OR($G15&lt;&gt;"",$V15&lt;&gt;"",$AE15&gt;0),"×","〇"),"〇")</f>
        <v/>
      </c>
      <c r="DE15" s="11">
        <f>IF($G15="",IF(OR($A15&lt;&gt;"",$V15&lt;&gt;"",$AE15&gt;0),"×","〇"),"〇")</f>
        <v/>
      </c>
      <c r="DF15" s="11">
        <f>IF($V15="",IF(OR($A15&lt;&gt;"",$G15&lt;&gt;"",$AE15&gt;0),"×","〇"),"〇")</f>
        <v/>
      </c>
      <c r="DG15" s="11">
        <f>IF($AE15&lt;1,IF(OR($A15&lt;&gt;"",$G15&lt;&gt;"",$V15&lt;&gt;""),"×","〇"),"〇")</f>
        <v/>
      </c>
    </row>
    <row r="16" ht="19.9" customFormat="1" customHeight="1" s="11">
      <c r="A16" s="269" t="inlineStr">
        <is>
          <t>②広報費
立て看板購入費</t>
        </is>
      </c>
      <c r="G16" s="269" t="inlineStr">
        <is>
          <t>営業所前(行田市、さいたま市)に設置する立て看板2基。「デジタル化のお悩み相談」等を訴求し、地域での認知度向上を図る。行田・さいたま営業所前に常設。</t>
        </is>
      </c>
      <c r="V16" s="269" t="inlineStr">
        <is>
          <t>4,989円×2基</t>
        </is>
      </c>
      <c r="AE16" s="270" t="n">
        <v>9978</v>
      </c>
      <c r="AL16" s="12" t="inlineStr">
        <is>
          <t>(税込)</t>
        </is>
      </c>
    </row>
    <row r="17" ht="28.9" customFormat="1" customHeight="1" s="11">
      <c r="A17" s="269" t="inlineStr">
        <is>
          <t>②広報費
チラシ印刷費</t>
        </is>
      </c>
      <c r="G17" s="269" t="inlineStr">
        <is>
          <t>漫画パンフレット10万部の印刷。A4サイズ・10ページ冊子。埼玉県・北関東・東京都台東区の中小企業へ配布用。印刷完了後の写真を証拠として提出予定。発注先:印刷業者（相見積もり取得予定）</t>
        </is>
      </c>
      <c r="V17" s="269" t="inlineStr">
        <is>
          <t>178,650円×1式（10万部）</t>
        </is>
      </c>
      <c r="AE17" s="270" t="n">
        <v>178650</v>
      </c>
      <c r="AL17" s="12" t="inlineStr">
        <is>
          <t>(税込)</t>
        </is>
      </c>
    </row>
    <row r="18" ht="19.9" customFormat="1" customHeight="1" s="11">
      <c r="A18" s="269" t="inlineStr">
        <is>
          <t>⑧委託・外注費
ポスティング委託費</t>
        </is>
      </c>
      <c r="G18" s="269" t="inlineStr">
        <is>
          <t>10万部のパンフレット配布業務。配布先:埼玉県5万部、北関東(群馬・栃木)3.5万部、東京都台東区1.5万部。従業員50名以下の事業所を中心にリスト化。配布完了報告書、配布先リスト、実施写真を提出予定。補助事業期間内に全10万部の配布完了。発注先:ポスティング業者</t>
        </is>
      </c>
      <c r="V18" s="269" t="inlineStr">
        <is>
          <t>950,000円×1式（10万部配布）</t>
        </is>
      </c>
      <c r="AE18" s="270" t="n">
        <v>950000</v>
      </c>
      <c r="AL18" s="12" t="inlineStr">
        <is>
          <t>(税込)</t>
        </is>
      </c>
    </row>
    <row r="19" ht="28.9" customFormat="1" customHeight="1" s="11">
      <c r="A19" s="269" t="inlineStr">
        <is>
          <t>③ウェブサイト関連費
LP(ランディングページ)作成費
【ワイヤーフレーム設計】</t>
        </is>
      </c>
      <c r="G19" s="269" t="inlineStr">
        <is>
          <t>サイト構成・レイアウト設計。OToMoサービス詳細説明、導入事例・お客様の声、料金プラン、無料相談申し込みフォームの設計。発注先:WEB制作会社（外部エンジニア）</t>
        </is>
      </c>
      <c r="V19" s="269" t="inlineStr">
        <is>
          <t>50,000円×1式</t>
        </is>
      </c>
      <c r="AE19" s="270" t="n">
        <v>50000</v>
      </c>
      <c r="AL19" s="12" t="inlineStr">
        <is>
          <t>(税込)</t>
        </is>
      </c>
    </row>
    <row r="20" ht="19.5" customHeight="1" s="249">
      <c r="A20" s="269" t="inlineStr">
        <is>
          <t>③ウェブサイト関連費
LP(ランディングページ)作成費
【デザイン制作】</t>
        </is>
      </c>
      <c r="G20" s="269" t="inlineStr">
        <is>
          <t>ビジュアルデザイン、画像作成・編集。漫画キャラクターを活用したブランド統一デザイン。漫画パンフレットからの問い合わせ受け皿。発注先:WEB制作会社（外部エンジニア）</t>
        </is>
      </c>
      <c r="V20" s="269" t="inlineStr">
        <is>
          <t>60,000円×1式</t>
        </is>
      </c>
      <c r="AE20" s="270" t="n">
        <v>60000</v>
      </c>
      <c r="AL20" s="12" t="inlineStr">
        <is>
          <t>(税込)</t>
        </is>
      </c>
    </row>
    <row r="21" ht="19.5" customHeight="1" s="249">
      <c r="A21" s="269" t="inlineStr">
        <is>
          <t>③ウェブサイト関連費
LP(ランディングページ)作成費
【コーディング】</t>
        </is>
      </c>
      <c r="G21" s="269" t="inlineStr">
        <is>
          <t>HTML/CSS/JavaScriptコーディング、レスポンシブ対応。スマートフォン・タブレット対応。発注先:WEB制作会社（外部エンジニア）</t>
        </is>
      </c>
      <c r="V21" s="269" t="inlineStr">
        <is>
          <t>60,000円×1式</t>
        </is>
      </c>
      <c r="AE21" s="270" t="n">
        <v>60000</v>
      </c>
      <c r="AL21" s="12" t="inlineStr">
        <is>
          <t>(税込)</t>
        </is>
      </c>
    </row>
    <row r="22" ht="19.5" customHeight="1" s="249">
      <c r="A22" s="269" t="inlineStr">
        <is>
          <t>③ウェブサイト関連費
LP(ランディングページ)作成費
【問い合わせフォーム連携】</t>
        </is>
      </c>
      <c r="G22" s="269" t="inlineStr">
        <is>
          <t>フォーム機能実装、自動返信メール設定、管理画面設定。漫画パンフレットからの問い合わせ受け皿として機能。発注先:WEB制作会社（外部エンジニア）</t>
        </is>
      </c>
      <c r="V22" s="269" t="inlineStr">
        <is>
          <t>30,000円×1式</t>
        </is>
      </c>
      <c r="AE22" s="270" t="n">
        <v>30000</v>
      </c>
      <c r="AL22" s="12" t="inlineStr">
        <is>
          <t>(税込)</t>
        </is>
      </c>
    </row>
    <row r="23" ht="17.65" customHeight="1" s="249">
      <c r="A23" s="269" t="inlineStr">
        <is>
          <t>③ウェブサイト関連費
LINE公式アカウント構築費
【アカウント開設・基本設定】</t>
        </is>
      </c>
      <c r="G23" s="269" t="inlineStr">
        <is>
          <t>LINE公式アカウント開設、プロフィール設定、基本機能設定。気軽に問い合わせできる窓口として構築。発注先:LINE構築専門業者（外部エンジニア）</t>
        </is>
      </c>
      <c r="V23" s="269" t="inlineStr">
        <is>
          <t>30,000円×1式</t>
        </is>
      </c>
      <c r="AE23" s="270" t="n">
        <v>30000</v>
      </c>
      <c r="AL23" s="12" t="inlineStr">
        <is>
          <t>(税込)</t>
        </is>
      </c>
    </row>
    <row r="24" ht="17.65" customHeight="1" s="249">
      <c r="A24" s="269" t="inlineStr">
        <is>
          <t>③ウェブサイト関連費
LINE公式アカウント構築費
【自動応答メッセージ設定】</t>
        </is>
      </c>
      <c r="G24" s="269" t="inlineStr">
        <is>
          <t>自動応答シナリオ作成、キーワード応答設定、応答メッセージ作成。電話やメールよりも気軽に問い合わせできる窓口。発注先:LINE構築専門業者（外部エンジニア）</t>
        </is>
      </c>
      <c r="V24" s="269" t="inlineStr">
        <is>
          <t>40,000円×1式</t>
        </is>
      </c>
      <c r="AE24" s="270" t="n">
        <v>40000</v>
      </c>
      <c r="AL24" s="12" t="inlineStr">
        <is>
          <t>(税込)</t>
        </is>
      </c>
    </row>
    <row r="25" ht="17.65" customHeight="1" s="249">
      <c r="A25" s="269" t="inlineStr">
        <is>
          <t>③ウェブサイト関連費
LINE公式アカウント構築費
【リッチメニュー作成】</t>
        </is>
      </c>
      <c r="G25" s="269" t="inlineStr">
        <is>
          <t>リッチメニューデザイン・設定、導線設計、リンク設定。サービス案内、問い合わせ、事例紹介等のメニュー構築。発注先:LINE構築専門業者（外部エンジニア）</t>
        </is>
      </c>
      <c r="V25" s="269" t="inlineStr">
        <is>
          <t>30,000円×1式</t>
        </is>
      </c>
      <c r="AE25" s="270" t="n">
        <v>30000</v>
      </c>
      <c r="AL25" s="12" t="inlineStr">
        <is>
          <t>(税込)</t>
        </is>
      </c>
    </row>
    <row r="26" ht="17.65" customHeight="1" s="249">
      <c r="A26" s="269" t="inlineStr">
        <is>
          <t>③ウェブサイト関連費
LINE公式アカウント構築費
【配信設定・タグ管理】</t>
        </is>
      </c>
      <c r="G26" s="269" t="inlineStr">
        <is>
          <t>セグメント配信設定、タグ管理システム構築、配信スケジュール設定。問い合わせ属性に応じた適切な情報配信。発注先:LINE構築専門業者（外部エンジニア）</t>
        </is>
      </c>
      <c r="V26" s="269" t="inlineStr">
        <is>
          <t>30,000円×1式</t>
        </is>
      </c>
      <c r="AE26" s="270" t="n">
        <v>30000</v>
      </c>
      <c r="AL26" s="12" t="inlineStr">
        <is>
          <t>(税込)</t>
        </is>
      </c>
    </row>
    <row r="27" ht="17.65" customHeight="1" s="249">
      <c r="A27" s="269" t="inlineStr">
        <is>
          <t>③ウェブサイト関連費
LINE公式アカウント構築費
【問い合わせ対応フロー構築】</t>
        </is>
      </c>
      <c r="G27" s="269" t="inlineStr">
        <is>
          <t>問い合わせ受付フロー設計、対応マニュアル作成、管理画面設定。効率的な問い合わせ対応体制の構築。発注先:LINE構築専門業者（外部エンジニア）</t>
        </is>
      </c>
      <c r="V27" s="269" t="inlineStr">
        <is>
          <t>20,000円×1式</t>
        </is>
      </c>
      <c r="AE27" s="270" t="n">
        <v>20000</v>
      </c>
      <c r="AL27" s="12" t="inlineStr">
        <is>
          <t>(税込)</t>
        </is>
      </c>
    </row>
    <row r="28" ht="17.65" customHeight="1" s="249">
      <c r="A28" s="271" t="inlineStr">
        <is>
          <t>（1）補助対象経費小計（ウェブサイト関連費を除く）</t>
        </is>
      </c>
      <c r="B28" s="272" t="n"/>
      <c r="C28" s="272" t="n"/>
      <c r="D28" s="272" t="n"/>
      <c r="E28" s="272" t="n"/>
      <c r="F28" s="272" t="n"/>
      <c r="G28" s="272" t="n"/>
      <c r="H28" s="272" t="n"/>
      <c r="I28" s="272" t="n"/>
      <c r="J28" s="272" t="n"/>
      <c r="K28" s="272" t="n"/>
      <c r="L28" s="272" t="n"/>
      <c r="M28" s="272" t="n"/>
      <c r="N28" s="272" t="n"/>
      <c r="O28" s="272" t="n"/>
      <c r="P28" s="272" t="n"/>
      <c r="Q28" s="272" t="n"/>
      <c r="R28" s="272" t="n"/>
      <c r="S28" s="272" t="n"/>
      <c r="T28" s="272" t="n"/>
      <c r="U28" s="272" t="n"/>
      <c r="V28" s="272" t="n"/>
      <c r="W28" s="272" t="n"/>
      <c r="X28" s="272" t="n"/>
      <c r="Y28" s="272" t="n"/>
      <c r="Z28" s="272" t="n"/>
      <c r="AA28" s="272" t="n"/>
      <c r="AB28" s="272" t="n"/>
      <c r="AC28" s="272" t="n"/>
      <c r="AD28" s="273" t="n"/>
      <c r="AE28" s="274">
        <f>ExpenseCategoryList!K$2</f>
        <v/>
      </c>
      <c r="AF28" s="272" t="n"/>
      <c r="AG28" s="272" t="n"/>
      <c r="AH28" s="272" t="n"/>
      <c r="AI28" s="272" t="n"/>
      <c r="AJ28" s="273" t="n"/>
      <c r="AK28" s="13" t="n"/>
      <c r="AL28" s="19" t="n"/>
      <c r="AM28" s="20" t="inlineStr">
        <is>
          <t>▼判定式</t>
        </is>
      </c>
      <c r="AN28" s="83" t="inlineStr">
        <is>
          <t>端数</t>
        </is>
      </c>
      <c r="AO28" s="83" t="inlineStr">
        <is>
          <t>経費内比率</t>
        </is>
      </c>
      <c r="AP28" s="24" t="inlineStr">
        <is>
          <t>ウェブサイト関連費以外の申請補助額</t>
        </is>
      </c>
      <c r="AQ28" s="24" t="n"/>
      <c r="AR28" s="25" t="n"/>
      <c r="AS28" s="24" t="n"/>
    </row>
    <row r="29" ht="17.65" customHeight="1" s="249">
      <c r="A29" s="275" t="inlineStr">
        <is>
          <t>（2）補助金交付申請額（ウェブサイト関連費を除く）</t>
        </is>
      </c>
      <c r="B29" s="272" t="n"/>
      <c r="C29" s="272" t="n"/>
      <c r="D29" s="272" t="n"/>
      <c r="E29" s="272" t="n"/>
      <c r="F29" s="272" t="n"/>
      <c r="G29" s="272" t="n"/>
      <c r="H29" s="272" t="n"/>
      <c r="I29" s="272" t="n"/>
      <c r="J29" s="272" t="n"/>
      <c r="K29" s="272" t="n"/>
      <c r="L29" s="272" t="n"/>
      <c r="M29" s="272" t="n"/>
      <c r="N29" s="272" t="n"/>
      <c r="O29" s="272" t="n"/>
      <c r="P29" s="272" t="n"/>
      <c r="Q29" s="272" t="n"/>
      <c r="R29" s="272" t="n"/>
      <c r="S29" s="272" t="n"/>
      <c r="T29" s="272" t="n"/>
      <c r="U29" s="272" t="n"/>
      <c r="V29" s="272" t="n"/>
      <c r="W29" s="272" t="n"/>
      <c r="X29" s="272" t="n"/>
      <c r="Y29" s="272" t="n"/>
      <c r="Z29" s="272" t="n"/>
      <c r="AA29" s="272" t="n"/>
      <c r="AB29" s="272" t="n"/>
      <c r="AC29" s="272" t="n"/>
      <c r="AD29" s="273" t="n"/>
      <c r="AE29" s="276" t="n"/>
      <c r="AF29" s="262" t="n"/>
      <c r="AG29" s="262" t="n"/>
      <c r="AH29" s="262" t="n"/>
      <c r="AI29" s="262" t="n"/>
      <c r="AJ29" s="263" t="n"/>
      <c r="AK29" s="13" t="n"/>
      <c r="AL29" s="19" t="n"/>
      <c r="AM29" s="22">
        <f>ExpenseCategoryList!E29</f>
        <v/>
      </c>
      <c r="AN29" s="277">
        <f>IF(AP17=AR17,ExpenseCategoryList!I14,"")</f>
        <v/>
      </c>
      <c r="AO29" s="23">
        <f>ExpenseCategoryList!J38</f>
        <v/>
      </c>
      <c r="AP29" s="278">
        <f>ExpenseCategoryList!I29</f>
        <v/>
      </c>
      <c r="AQ29" s="279" t="inlineStr">
        <is>
          <t>～</t>
        </is>
      </c>
      <c r="AR29" s="278">
        <f>ExpenseCategoryList!G29</f>
        <v/>
      </c>
      <c r="AS29" s="24" t="n"/>
    </row>
    <row r="30" ht="17.65" customHeight="1" s="249">
      <c r="A30" s="271" t="inlineStr">
        <is>
          <t>（3）ウェブサイト関連費に係る補助対象経費小計</t>
        </is>
      </c>
      <c r="B30" s="272" t="n"/>
      <c r="C30" s="272" t="n"/>
      <c r="D30" s="272" t="n"/>
      <c r="E30" s="272" t="n"/>
      <c r="F30" s="272" t="n"/>
      <c r="G30" s="272" t="n"/>
      <c r="H30" s="272" t="n"/>
      <c r="I30" s="272" t="n"/>
      <c r="J30" s="272" t="n"/>
      <c r="K30" s="272" t="n"/>
      <c r="L30" s="272" t="n"/>
      <c r="M30" s="272" t="n"/>
      <c r="N30" s="272" t="n"/>
      <c r="O30" s="272" t="n"/>
      <c r="P30" s="272" t="n"/>
      <c r="Q30" s="272" t="n"/>
      <c r="R30" s="272" t="n"/>
      <c r="S30" s="272" t="n"/>
      <c r="T30" s="272" t="n"/>
      <c r="U30" s="272" t="n"/>
      <c r="V30" s="272" t="n"/>
      <c r="W30" s="272" t="n"/>
      <c r="X30" s="272" t="n"/>
      <c r="Y30" s="272" t="n"/>
      <c r="Z30" s="272" t="n"/>
      <c r="AA30" s="272" t="n"/>
      <c r="AB30" s="272" t="n"/>
      <c r="AC30" s="272" t="n"/>
      <c r="AD30" s="273" t="n"/>
      <c r="AE30" s="274">
        <f>ExpenseCategoryList!$Q$2</f>
        <v/>
      </c>
      <c r="AF30" s="272" t="n"/>
      <c r="AG30" s="272" t="n"/>
      <c r="AH30" s="272" t="n"/>
      <c r="AI30" s="272" t="n"/>
      <c r="AJ30" s="273" t="n"/>
      <c r="AK30" s="13" t="n"/>
      <c r="AL30" s="19" t="n"/>
      <c r="AM30" s="45" t="n"/>
      <c r="AN30" s="45" t="n"/>
      <c r="AO30" s="45" t="n"/>
      <c r="AP30" s="46" t="n"/>
      <c r="AQ30" s="46" t="n"/>
      <c r="AR30" s="46" t="n"/>
      <c r="AS30" s="24" t="n"/>
    </row>
    <row r="31" ht="17.65" customHeight="1" s="249">
      <c r="A31" s="275" t="inlineStr">
        <is>
          <t>（4）ウェブサイト関連費に係る交付申請額</t>
        </is>
      </c>
      <c r="B31" s="272" t="n"/>
      <c r="C31" s="272" t="n"/>
      <c r="D31" s="272" t="n"/>
      <c r="E31" s="272" t="n"/>
      <c r="F31" s="272" t="n"/>
      <c r="G31" s="272" t="n"/>
      <c r="H31" s="272" t="n"/>
      <c r="I31" s="272" t="n"/>
      <c r="J31" s="272" t="n"/>
      <c r="K31" s="272" t="n"/>
      <c r="L31" s="272" t="n"/>
      <c r="M31" s="272" t="n"/>
      <c r="N31" s="272" t="n"/>
      <c r="O31" s="272" t="n"/>
      <c r="P31" s="272" t="n"/>
      <c r="Q31" s="272" t="n"/>
      <c r="R31" s="272" t="n"/>
      <c r="S31" s="272" t="n"/>
      <c r="T31" s="272" t="n"/>
      <c r="U31" s="272" t="n"/>
      <c r="V31" s="272" t="n"/>
      <c r="W31" s="272" t="n"/>
      <c r="X31" s="272" t="n"/>
      <c r="Y31" s="272" t="n"/>
      <c r="Z31" s="272" t="n"/>
      <c r="AA31" s="272" t="n"/>
      <c r="AB31" s="272" t="n"/>
      <c r="AC31" s="272" t="n"/>
      <c r="AD31" s="273" t="n"/>
      <c r="AE31" s="280">
        <f>ExpenseCategoryList!H40</f>
        <v/>
      </c>
      <c r="AF31" s="272" t="n"/>
      <c r="AG31" s="272" t="n"/>
      <c r="AH31" s="272" t="n"/>
      <c r="AI31" s="272" t="n"/>
      <c r="AJ31" s="273" t="n"/>
      <c r="AK31" s="13" t="n"/>
      <c r="AL31" s="19" t="n"/>
      <c r="AM31" s="47">
        <f>ExpenseCategoryList!E31</f>
        <v/>
      </c>
      <c r="AN31" s="277">
        <f>IF(AP17=AR17,ExpenseCategoryList!I18,"")</f>
        <v/>
      </c>
      <c r="AO31" s="48">
        <f>ExpenseCategoryList!J40</f>
        <v/>
      </c>
      <c r="AP31" s="281" t="n"/>
      <c r="AQ31" s="282" t="n"/>
      <c r="AR31" s="281" t="n"/>
      <c r="AS31" s="24" t="n"/>
    </row>
    <row r="32" ht="17.65" customHeight="1" s="249">
      <c r="A32" s="271" t="inlineStr">
        <is>
          <t>（5）補助対象経費合計　　　（a）＋（c）</t>
        </is>
      </c>
      <c r="B32" s="272" t="n"/>
      <c r="C32" s="272" t="n"/>
      <c r="D32" s="272" t="n"/>
      <c r="E32" s="272" t="n"/>
      <c r="F32" s="272" t="n"/>
      <c r="G32" s="272" t="n"/>
      <c r="H32" s="272" t="n"/>
      <c r="I32" s="272" t="n"/>
      <c r="J32" s="272" t="n"/>
      <c r="K32" s="272" t="n"/>
      <c r="L32" s="272" t="n"/>
      <c r="M32" s="272" t="n"/>
      <c r="N32" s="272" t="n"/>
      <c r="O32" s="272" t="n"/>
      <c r="P32" s="272" t="n"/>
      <c r="Q32" s="272" t="n"/>
      <c r="R32" s="272" t="n"/>
      <c r="S32" s="272" t="n"/>
      <c r="T32" s="272" t="n"/>
      <c r="U32" s="272" t="n"/>
      <c r="V32" s="272" t="n"/>
      <c r="W32" s="272" t="n"/>
      <c r="X32" s="272" t="n"/>
      <c r="Y32" s="272" t="n"/>
      <c r="Z32" s="272" t="n"/>
      <c r="AA32" s="272" t="n"/>
      <c r="AB32" s="272" t="n"/>
      <c r="AC32" s="272" t="n"/>
      <c r="AD32" s="273" t="n"/>
      <c r="AE32" s="274">
        <f>ExpenseCategoryList!$D$2</f>
        <v/>
      </c>
      <c r="AF32" s="272" t="n"/>
      <c r="AG32" s="272" t="n"/>
      <c r="AH32" s="272" t="n"/>
      <c r="AI32" s="272" t="n"/>
      <c r="AJ32" s="273" t="n"/>
      <c r="AK32" s="13" t="n"/>
      <c r="AL32" s="19" t="n"/>
      <c r="AM32" s="45" t="n"/>
      <c r="AN32" s="45" t="n"/>
      <c r="AO32" s="45" t="n"/>
      <c r="AP32" s="50" t="n"/>
      <c r="AQ32" s="50" t="n"/>
      <c r="AR32" s="50" t="n"/>
    </row>
    <row r="33" ht="22.9" customHeight="1" s="249">
      <c r="A33" s="217" t="inlineStr">
        <is>
          <t>（6）補助金交付申請額合計　　（b）＋（d）</t>
        </is>
      </c>
      <c r="B33" s="272" t="n"/>
      <c r="C33" s="272" t="n"/>
      <c r="D33" s="272" t="n"/>
      <c r="E33" s="272" t="n"/>
      <c r="F33" s="272" t="n"/>
      <c r="G33" s="272" t="n"/>
      <c r="H33" s="272" t="n"/>
      <c r="I33" s="272" t="n"/>
      <c r="J33" s="272" t="n"/>
      <c r="K33" s="272" t="n"/>
      <c r="L33" s="272" t="n"/>
      <c r="M33" s="272" t="n"/>
      <c r="N33" s="272" t="n"/>
      <c r="O33" s="272" t="n"/>
      <c r="P33" s="272" t="n"/>
      <c r="Q33" s="272" t="n"/>
      <c r="R33" s="272" t="n"/>
      <c r="S33" s="272" t="n"/>
      <c r="T33" s="272" t="n"/>
      <c r="U33" s="272" t="n"/>
      <c r="V33" s="272" t="n"/>
      <c r="W33" s="272" t="n"/>
      <c r="X33" s="272" t="n"/>
      <c r="Y33" s="272" t="n"/>
      <c r="Z33" s="272" t="n"/>
      <c r="AA33" s="272" t="n"/>
      <c r="AB33" s="272" t="n"/>
      <c r="AC33" s="272" t="n"/>
      <c r="AD33" s="273" t="n"/>
      <c r="AE33" s="274">
        <f>ExpenseCategoryList!J20</f>
        <v/>
      </c>
      <c r="AF33" s="272" t="n"/>
      <c r="AG33" s="272" t="n"/>
      <c r="AH33" s="272" t="n"/>
      <c r="AI33" s="272" t="n"/>
      <c r="AJ33" s="273" t="n"/>
      <c r="AK33" s="100">
        <f>ExpenseCategoryList!E46</f>
        <v/>
      </c>
      <c r="AL33" s="19" t="n"/>
      <c r="AM33" s="47">
        <f>ExpenseCategoryList!E33</f>
        <v/>
      </c>
      <c r="AN33" s="277">
        <f>IF(AP17=AR17,ExpenseCategoryList!I22,"")</f>
        <v/>
      </c>
      <c r="AO33" s="83" t="inlineStr">
        <is>
          <t>申請額内比率</t>
        </is>
      </c>
      <c r="AP33" s="281" t="n"/>
      <c r="AQ33" s="283" t="n"/>
      <c r="AR33" s="281" t="n"/>
      <c r="AS33" s="25" t="n"/>
    </row>
    <row r="34" ht="22.9" customHeight="1" s="249">
      <c r="A34" s="217" t="inlineStr">
        <is>
          <t>（d）が（f）の1/4以内であるか（「いいえ」の場合は申請できません）</t>
        </is>
      </c>
      <c r="B34" s="272" t="n"/>
      <c r="C34" s="272" t="n"/>
      <c r="D34" s="272" t="n"/>
      <c r="E34" s="272" t="n"/>
      <c r="F34" s="272" t="n"/>
      <c r="G34" s="272" t="n"/>
      <c r="H34" s="272" t="n"/>
      <c r="I34" s="272" t="n"/>
      <c r="J34" s="272" t="n"/>
      <c r="K34" s="272" t="n"/>
      <c r="L34" s="272" t="n"/>
      <c r="M34" s="272" t="n"/>
      <c r="N34" s="272" t="n"/>
      <c r="O34" s="272" t="n"/>
      <c r="P34" s="272" t="n"/>
      <c r="Q34" s="272" t="n"/>
      <c r="R34" s="272" t="n"/>
      <c r="S34" s="272" t="n"/>
      <c r="T34" s="272" t="n"/>
      <c r="U34" s="272" t="n"/>
      <c r="V34" s="272" t="n"/>
      <c r="W34" s="272" t="n"/>
      <c r="X34" s="272" t="n"/>
      <c r="Y34" s="272" t="n"/>
      <c r="Z34" s="272" t="n"/>
      <c r="AA34" s="272" t="n"/>
      <c r="AB34" s="272" t="n"/>
      <c r="AC34" s="272" t="n"/>
      <c r="AD34" s="273" t="n"/>
      <c r="AE34" s="284">
        <f>ExpenseCategoryList!$R$2</f>
        <v/>
      </c>
      <c r="AF34" s="272" t="n"/>
      <c r="AG34" s="272" t="n"/>
      <c r="AH34" s="272" t="n"/>
      <c r="AI34" s="272" t="n"/>
      <c r="AJ34" s="273" t="n"/>
      <c r="AM34" s="47">
        <f>ExpenseCategoryList!E34</f>
        <v/>
      </c>
      <c r="AN34" s="48" t="n"/>
      <c r="AO34" s="48">
        <f>ExpenseCategoryList!J42</f>
        <v/>
      </c>
      <c r="AP34" s="48" t="n"/>
      <c r="AQ34" s="48" t="n"/>
      <c r="AR34" s="48" t="n"/>
      <c r="AS34" s="21" t="n"/>
    </row>
    <row r="35" ht="36" customHeight="1" s="249">
      <c r="A35" s="248" t="inlineStr">
        <is>
          <t>※経費区分には、「①機械装置等費」から「⑧委託・外注費」までの各費目を記入してください。</t>
        </is>
      </c>
      <c r="AL35" s="248" t="n"/>
      <c r="AM35" s="52" t="n"/>
      <c r="AN35" s="52" t="n"/>
      <c r="AO35" s="50" t="n"/>
      <c r="AP35" s="50" t="n"/>
      <c r="AQ35" s="50" t="n"/>
      <c r="AR35" s="50" t="n"/>
    </row>
    <row r="36" ht="25.9" customHeight="1" s="249">
      <c r="A36" s="248" t="inlineStr">
        <is>
          <t>※経費の内訳に関しては、内容がわかるように記載してください。</t>
        </is>
      </c>
      <c r="AL36" s="248" t="n"/>
      <c r="AM36" s="102" t="inlineStr">
        <is>
          <t>上限補助額：</t>
        </is>
      </c>
      <c r="AN36" s="151">
        <f> ExpenseCategoryList!E38</f>
        <v/>
      </c>
      <c r="AP36" s="151" t="n"/>
      <c r="AQ36" s="50" t="n"/>
      <c r="AR36" s="50" t="n"/>
    </row>
    <row r="37" ht="22.9" customHeight="1" s="249">
      <c r="A37" s="233" t="inlineStr">
        <is>
          <t>※補助対象経費の消費税（税抜・税込）区分については、別紙「参考資料」の「１２．消費税等仕入控除税額」を参照のこと。</t>
        </is>
      </c>
      <c r="AL37" s="233" t="n"/>
      <c r="AM37" s="103" t="inlineStr">
        <is>
          <t xml:space="preserve">　補助率　　：</t>
        </is>
      </c>
      <c r="AN37" s="153">
        <f> ExpenseCategoryList!E40</f>
        <v/>
      </c>
      <c r="AP37" s="153" t="n"/>
      <c r="AQ37" s="153" t="n"/>
      <c r="AR37" s="153" t="n"/>
      <c r="AS37" s="153" t="n"/>
      <c r="AT37" s="94" t="n"/>
      <c r="AU37" s="94" t="n"/>
      <c r="AV37" s="94" t="n"/>
      <c r="AW37" s="94" t="n"/>
      <c r="AX37" s="94" t="n"/>
      <c r="AY37" s="94" t="n"/>
      <c r="AZ37" s="94" t="n"/>
      <c r="BA37" s="94" t="n"/>
      <c r="BB37" s="94" t="n"/>
      <c r="BC37" s="94" t="n"/>
      <c r="BD37" s="94" t="n"/>
      <c r="BE37" s="94" t="n"/>
      <c r="BF37" s="94" t="n"/>
      <c r="BG37" s="94" t="n"/>
      <c r="BH37" s="94" t="n"/>
      <c r="BI37" s="94" t="n"/>
      <c r="BJ37" s="94" t="n"/>
      <c r="BK37" s="94" t="n"/>
      <c r="BL37" s="94" t="n"/>
      <c r="BM37" s="94" t="n"/>
      <c r="BN37" s="94" t="n"/>
      <c r="BO37" s="94" t="n"/>
      <c r="BP37" s="94" t="n"/>
    </row>
    <row r="38" ht="25.9" customHeight="1" s="249">
      <c r="A38" s="171" t="inlineStr">
        <is>
          <t>※「（4）ウェブサイト関連費に係る交付申請額」については、「（6）補助金交付申請額合計」の1/4以内となるように記入してください。</t>
        </is>
      </c>
      <c r="AL38" s="116" t="n"/>
      <c r="AM38" s="232">
        <f>ExpenseCategoryList!E48 &amp; ExpenseCategoryList!E49</f>
        <v/>
      </c>
    </row>
    <row r="39" ht="19.5" customHeight="1" s="249">
      <c r="A39" s="171" t="inlineStr">
        <is>
          <t xml:space="preserve">　記載にあたっては、「様式3_経費明細表(Excel)」をご使用ください。</t>
        </is>
      </c>
      <c r="AL39" s="15" t="n"/>
      <c r="AM39" s="132" t="n"/>
      <c r="AN39" s="131" t="n"/>
      <c r="AO39" s="131" t="n"/>
      <c r="AP39" s="131" t="n"/>
      <c r="AQ39" s="131" t="n"/>
      <c r="AR39" s="131" t="n"/>
      <c r="AS39" s="94" t="n"/>
    </row>
    <row r="40" ht="19.5" customHeight="1" s="249">
      <c r="A40" s="171" t="inlineStr">
        <is>
          <t>※補助事業の実績によりウェブサイト関連費における補助金額が減額となる場合があります。</t>
        </is>
      </c>
      <c r="AL40" s="170" t="n"/>
      <c r="AM40" s="132" t="n"/>
      <c r="AN40" s="131" t="n"/>
      <c r="AO40" s="131" t="n"/>
      <c r="AP40" s="131" t="n"/>
      <c r="AQ40" s="131" t="n"/>
      <c r="AR40" s="131" t="n"/>
    </row>
    <row r="41" ht="19.5" customHeight="1" s="249">
      <c r="A41" s="170" t="inlineStr">
        <is>
          <t>※「（6）補助金交付申請額合計」の上限額は、インボイス特例を希望した場合、250万円となります。</t>
        </is>
      </c>
      <c r="AL41" s="170" t="n"/>
      <c r="AM41" s="132" t="n"/>
    </row>
    <row r="42" ht="19.5" customHeight="1" s="249">
      <c r="A42" s="170" t="n"/>
      <c r="AL42" s="171" t="n"/>
      <c r="AM42" s="132" t="n"/>
    </row>
    <row r="43" ht="19.5" customHeight="1" s="249">
      <c r="A43" s="8" t="inlineStr">
        <is>
          <t>Ⅲ．資金調達方法【必須記入】</t>
        </is>
      </c>
      <c r="AK43" s="14" t="n"/>
      <c r="AL43" s="16" t="n"/>
      <c r="AM43" s="132" t="n"/>
    </row>
    <row r="44">
      <c r="A44" s="8" t="inlineStr">
        <is>
          <t>＜補助対象経費の調達一覧＞　　　　　　　 ＜「２．補助金」相当額の手当方法＞(※３)</t>
        </is>
      </c>
      <c r="AK44" s="14" t="n"/>
      <c r="AL44" s="14" t="n"/>
      <c r="AM44" s="131" t="n"/>
    </row>
    <row r="45">
      <c r="A45" s="194" t="inlineStr">
        <is>
          <t>区分</t>
        </is>
      </c>
      <c r="B45" s="272" t="n"/>
      <c r="C45" s="272" t="n"/>
      <c r="D45" s="272" t="n"/>
      <c r="E45" s="272" t="n"/>
      <c r="F45" s="273" t="n"/>
      <c r="G45" s="216" t="inlineStr">
        <is>
          <t>金額（円）</t>
        </is>
      </c>
      <c r="H45" s="272" t="n"/>
      <c r="I45" s="272" t="n"/>
      <c r="J45" s="272" t="n"/>
      <c r="K45" s="272" t="n"/>
      <c r="L45" s="273" t="n"/>
      <c r="M45" s="216" t="inlineStr">
        <is>
          <t>資金
調達先</t>
        </is>
      </c>
      <c r="N45" s="272" t="n"/>
      <c r="O45" s="272" t="n"/>
      <c r="P45" s="272" t="n"/>
      <c r="Q45" s="273" t="n"/>
      <c r="T45" s="194" t="inlineStr">
        <is>
          <t>区分</t>
        </is>
      </c>
      <c r="U45" s="272" t="n"/>
      <c r="V45" s="272" t="n"/>
      <c r="W45" s="272" t="n"/>
      <c r="X45" s="272" t="n"/>
      <c r="Y45" s="272" t="n"/>
      <c r="Z45" s="273" t="n"/>
      <c r="AA45" s="285" t="inlineStr">
        <is>
          <t>金額（円）</t>
        </is>
      </c>
      <c r="AB45" s="272" t="n"/>
      <c r="AC45" s="272" t="n"/>
      <c r="AD45" s="272" t="n"/>
      <c r="AE45" s="273" t="n"/>
      <c r="AF45" s="216" t="inlineStr">
        <is>
          <t>資金
調達先</t>
        </is>
      </c>
      <c r="AG45" s="272" t="n"/>
      <c r="AH45" s="272" t="n"/>
      <c r="AI45" s="272" t="n"/>
      <c r="AJ45" s="273" t="n"/>
      <c r="AK45" s="14" t="n"/>
      <c r="AL45" s="14" t="n"/>
      <c r="AM45" s="131" t="n"/>
    </row>
    <row r="46">
      <c r="A46" s="218" t="inlineStr">
        <is>
          <t>1.自己資金</t>
        </is>
      </c>
      <c r="B46" s="272" t="n"/>
      <c r="C46" s="272" t="n"/>
      <c r="D46" s="272" t="n"/>
      <c r="E46" s="272" t="n"/>
      <c r="F46" s="273" t="n"/>
      <c r="G46" s="286" t="n">
        <v>0</v>
      </c>
      <c r="H46" s="262" t="n"/>
      <c r="I46" s="262" t="n"/>
      <c r="J46" s="262" t="n"/>
      <c r="K46" s="262" t="n"/>
      <c r="L46" s="263" t="n"/>
      <c r="M46" s="287" t="n"/>
      <c r="N46" s="272" t="n"/>
      <c r="O46" s="272" t="n"/>
      <c r="P46" s="272" t="n"/>
      <c r="Q46" s="273" t="n"/>
      <c r="T46" s="218" t="inlineStr">
        <is>
          <t>2-1.自己資金</t>
        </is>
      </c>
      <c r="U46" s="272" t="n"/>
      <c r="V46" s="272" t="n"/>
      <c r="W46" s="272" t="n"/>
      <c r="X46" s="272" t="n"/>
      <c r="Y46" s="272" t="n"/>
      <c r="Z46" s="273" t="n"/>
      <c r="AA46" s="288" t="n">
        <v>0</v>
      </c>
      <c r="AB46" s="262" t="n"/>
      <c r="AC46" s="262" t="n"/>
      <c r="AD46" s="262" t="n"/>
      <c r="AE46" s="263" t="n"/>
      <c r="AF46" s="227" t="n"/>
      <c r="AG46" s="272" t="n"/>
      <c r="AH46" s="272" t="n"/>
      <c r="AI46" s="272" t="n"/>
      <c r="AJ46" s="273" t="n"/>
      <c r="AK46" s="14" t="n"/>
      <c r="AL46" s="14" t="n"/>
      <c r="AM46" s="131" t="n"/>
    </row>
    <row r="47">
      <c r="A47" s="218" t="inlineStr">
        <is>
          <t>2.持続化補助金（※１）</t>
        </is>
      </c>
      <c r="B47" s="272" t="n"/>
      <c r="C47" s="272" t="n"/>
      <c r="D47" s="272" t="n"/>
      <c r="E47" s="272" t="n"/>
      <c r="F47" s="273" t="n"/>
      <c r="G47" s="289">
        <f>AA34+AA35+AA36</f>
        <v/>
      </c>
      <c r="H47" s="272" t="n"/>
      <c r="I47" s="272" t="n"/>
      <c r="J47" s="272" t="n"/>
      <c r="K47" s="272" t="n"/>
      <c r="L47" s="273" t="n"/>
      <c r="M47" s="287" t="n"/>
      <c r="N47" s="272" t="n"/>
      <c r="O47" s="272" t="n"/>
      <c r="P47" s="272" t="n"/>
      <c r="Q47" s="273" t="n"/>
      <c r="T47" s="218" t="inlineStr">
        <is>
          <t>2-2.金融機関からの借入金</t>
        </is>
      </c>
      <c r="U47" s="272" t="n"/>
      <c r="V47" s="272" t="n"/>
      <c r="W47" s="272" t="n"/>
      <c r="X47" s="272" t="n"/>
      <c r="Y47" s="272" t="n"/>
      <c r="Z47" s="273" t="n"/>
      <c r="AA47" s="288" t="n">
        <v>0</v>
      </c>
      <c r="AB47" s="262" t="n"/>
      <c r="AC47" s="262" t="n"/>
      <c r="AD47" s="262" t="n"/>
      <c r="AE47" s="263" t="n"/>
      <c r="AF47" s="223" t="n"/>
      <c r="AG47" s="262" t="n"/>
      <c r="AH47" s="262" t="n"/>
      <c r="AI47" s="262" t="n"/>
      <c r="AJ47" s="263" t="n"/>
      <c r="AL47" s="14" t="n"/>
      <c r="AM47" s="131" t="n"/>
    </row>
    <row r="48">
      <c r="A48" s="218" t="inlineStr">
        <is>
          <t>3.金融機関からの借入金</t>
        </is>
      </c>
      <c r="B48" s="272" t="n"/>
      <c r="C48" s="272" t="n"/>
      <c r="D48" s="272" t="n"/>
      <c r="E48" s="272" t="n"/>
      <c r="F48" s="273" t="n"/>
      <c r="G48" s="286" t="n">
        <v>0</v>
      </c>
      <c r="H48" s="262" t="n"/>
      <c r="I48" s="262" t="n"/>
      <c r="J48" s="262" t="n"/>
      <c r="K48" s="262" t="n"/>
      <c r="L48" s="263" t="n"/>
      <c r="M48" s="223" t="n"/>
      <c r="N48" s="262" t="n"/>
      <c r="O48" s="262" t="n"/>
      <c r="P48" s="262" t="n"/>
      <c r="Q48" s="263" t="n"/>
      <c r="T48" s="218" t="inlineStr">
        <is>
          <t>2-3.その他</t>
        </is>
      </c>
      <c r="U48" s="272" t="n"/>
      <c r="V48" s="272" t="n"/>
      <c r="W48" s="272" t="n"/>
      <c r="X48" s="272" t="n"/>
      <c r="Y48" s="272" t="n"/>
      <c r="Z48" s="273" t="n"/>
      <c r="AA48" s="288" t="n">
        <v>0</v>
      </c>
      <c r="AB48" s="262" t="n"/>
      <c r="AC48" s="262" t="n"/>
      <c r="AD48" s="262" t="n"/>
      <c r="AE48" s="263" t="n"/>
      <c r="AF48" s="223" t="n"/>
      <c r="AG48" s="262" t="n"/>
      <c r="AH48" s="262" t="n"/>
      <c r="AI48" s="262" t="n"/>
      <c r="AJ48" s="263" t="n"/>
      <c r="AL48" s="14" t="n"/>
      <c r="AM48" s="131" t="n"/>
    </row>
    <row r="49">
      <c r="A49" s="218" t="inlineStr">
        <is>
          <t>4.その他</t>
        </is>
      </c>
      <c r="B49" s="272" t="n"/>
      <c r="C49" s="272" t="n"/>
      <c r="D49" s="272" t="n"/>
      <c r="E49" s="272" t="n"/>
      <c r="F49" s="273" t="n"/>
      <c r="G49" s="286" t="n">
        <v>0</v>
      </c>
      <c r="H49" s="262" t="n"/>
      <c r="I49" s="262" t="n"/>
      <c r="J49" s="262" t="n"/>
      <c r="K49" s="262" t="n"/>
      <c r="L49" s="263" t="n"/>
      <c r="M49" s="290" t="n"/>
      <c r="N49" s="262" t="n"/>
      <c r="O49" s="262" t="n"/>
      <c r="P49" s="262" t="n"/>
      <c r="Q49" s="263" t="n"/>
      <c r="AJ49" s="121" t="n"/>
      <c r="AL49" s="14" t="n"/>
      <c r="AM49" s="20" t="inlineStr">
        <is>
          <t>▼判定式</t>
        </is>
      </c>
    </row>
    <row r="50">
      <c r="A50" s="218" t="inlineStr">
        <is>
          <t>5.合計額
（※２）</t>
        </is>
      </c>
      <c r="B50" s="272" t="n"/>
      <c r="C50" s="272" t="n"/>
      <c r="D50" s="272" t="n"/>
      <c r="E50" s="272" t="n"/>
      <c r="F50" s="273" t="n"/>
      <c r="G50" s="289">
        <f>G34+G35+G36+G37</f>
        <v/>
      </c>
      <c r="H50" s="272" t="n"/>
      <c r="I50" s="272" t="n"/>
      <c r="J50" s="272" t="n"/>
      <c r="K50" s="272" t="n"/>
      <c r="L50" s="273" t="n"/>
      <c r="M50" s="287" t="n"/>
      <c r="N50" s="272" t="n"/>
      <c r="O50" s="272" t="n"/>
      <c r="P50" s="272" t="n"/>
      <c r="Q50" s="273" t="n"/>
      <c r="AL50" s="14" t="n"/>
      <c r="AM50" s="47">
        <f>ExpenseCategoryList!D57</f>
        <v/>
      </c>
    </row>
    <row r="51">
      <c r="A51" s="248" t="inlineStr">
        <is>
          <t>※１　補助金額は、Ⅱ．経費明細表「（6）補助金交付申請額」と一致させること。</t>
        </is>
      </c>
      <c r="AL51" s="14" t="n"/>
    </row>
    <row r="52">
      <c r="A52" s="248" t="inlineStr">
        <is>
          <t>※２　合計額は、Ⅱ．経費明細表「（5）補助対象経費合計」と一致させること。</t>
        </is>
      </c>
    </row>
    <row r="53">
      <c r="A53" s="248" t="inlineStr">
        <is>
          <t>※３　補助事業が終了してからの精算となりますので、その間の資金の調達方法について、ご記入ください。</t>
        </is>
      </c>
      <c r="AL53" s="117" t="n"/>
    </row>
    <row r="54">
      <c r="A54" s="9" t="inlineStr">
        <is>
          <t>（各項目について記載内容が多い場合は、適宜、行数・ページ数を追加できます。）</t>
        </is>
      </c>
    </row>
  </sheetData>
  <sheetProtection selectLockedCells="1" selectUnlockedCells="0" sheet="1" objects="0" insertRows="0" insertHyperlinks="1" autoFilter="1" scenarios="0" formatColumns="1" deleteColumns="1" insertColumns="1" pivotTables="1" deleteRows="0" formatCells="1" formatRows="0" sort="1"/>
  <mergeCells count="104">
    <mergeCell ref="M34:Q34"/>
    <mergeCell ref="A26:AK26"/>
    <mergeCell ref="AL22:AS22"/>
    <mergeCell ref="A9:F10"/>
    <mergeCell ref="V15:AD15"/>
    <mergeCell ref="G14:U14"/>
    <mergeCell ref="AE13:AJ13"/>
    <mergeCell ref="T33:Z33"/>
    <mergeCell ref="AN8:AS8"/>
    <mergeCell ref="A38:F38"/>
    <mergeCell ref="AE15:AJ15"/>
    <mergeCell ref="A13:F13"/>
    <mergeCell ref="T35:Z35"/>
    <mergeCell ref="AL24:AS24"/>
    <mergeCell ref="A15:F15"/>
    <mergeCell ref="AL17:AS17"/>
    <mergeCell ref="V5:AJ5"/>
    <mergeCell ref="AL10:AS10"/>
    <mergeCell ref="AL19:AS19"/>
    <mergeCell ref="AL9:AS9"/>
    <mergeCell ref="AE17:AJ17"/>
    <mergeCell ref="T34:Z34"/>
    <mergeCell ref="G9:U10"/>
    <mergeCell ref="A23:AK23"/>
    <mergeCell ref="G34:L34"/>
    <mergeCell ref="AL11:AS11"/>
    <mergeCell ref="A33:F33"/>
    <mergeCell ref="AA34:AE34"/>
    <mergeCell ref="AE10:AJ10"/>
    <mergeCell ref="V11:AD11"/>
    <mergeCell ref="AE19:AJ19"/>
    <mergeCell ref="A21:AD21"/>
    <mergeCell ref="AN25:AO25"/>
    <mergeCell ref="A35:F35"/>
    <mergeCell ref="AA36:AE36"/>
    <mergeCell ref="AE9:AJ9"/>
    <mergeCell ref="AM2:AS2"/>
    <mergeCell ref="AL13:AS13"/>
    <mergeCell ref="AL21:AS21"/>
    <mergeCell ref="AE11:AJ11"/>
    <mergeCell ref="M37:Q37"/>
    <mergeCell ref="AL23:AS23"/>
    <mergeCell ref="G12:U12"/>
    <mergeCell ref="A11:F11"/>
    <mergeCell ref="A25:AK25"/>
    <mergeCell ref="M38:Q38"/>
    <mergeCell ref="V13:AD13"/>
    <mergeCell ref="AE21:AJ21"/>
    <mergeCell ref="G38:L38"/>
    <mergeCell ref="AF34:AJ34"/>
    <mergeCell ref="AN24:AO24"/>
    <mergeCell ref="AL27:AS27"/>
    <mergeCell ref="A18:AD18"/>
    <mergeCell ref="M35:Q35"/>
    <mergeCell ref="G33:L33"/>
    <mergeCell ref="A29:AK29"/>
    <mergeCell ref="AA33:AE33"/>
    <mergeCell ref="AM26:AS26"/>
    <mergeCell ref="G35:L35"/>
    <mergeCell ref="A20:AD20"/>
    <mergeCell ref="A24:AK24"/>
    <mergeCell ref="AL12:AS12"/>
    <mergeCell ref="M33:Q33"/>
    <mergeCell ref="A34:F34"/>
    <mergeCell ref="AA35:AE35"/>
    <mergeCell ref="V12:AD12"/>
    <mergeCell ref="AE20:AJ20"/>
    <mergeCell ref="AF35:AJ35"/>
    <mergeCell ref="AL14:AS14"/>
    <mergeCell ref="A36:F36"/>
    <mergeCell ref="G11:U11"/>
    <mergeCell ref="V14:AD14"/>
    <mergeCell ref="AE22:AJ22"/>
    <mergeCell ref="A27:AK27"/>
    <mergeCell ref="AE12:AJ12"/>
    <mergeCell ref="AF36:AJ36"/>
    <mergeCell ref="G37:L37"/>
    <mergeCell ref="A37:F37"/>
    <mergeCell ref="AF33:AJ33"/>
    <mergeCell ref="AE14:AJ14"/>
    <mergeCell ref="A16:AD16"/>
    <mergeCell ref="G13:U13"/>
    <mergeCell ref="A12:F12"/>
    <mergeCell ref="AM3:AS3"/>
    <mergeCell ref="T36:Z36"/>
    <mergeCell ref="AL26:AS26"/>
    <mergeCell ref="G15:U15"/>
    <mergeCell ref="A14:F14"/>
    <mergeCell ref="A28:AK28"/>
    <mergeCell ref="AL16:AS16"/>
    <mergeCell ref="AL25:AS25"/>
    <mergeCell ref="A17:AD17"/>
    <mergeCell ref="S5:U5"/>
    <mergeCell ref="A30:AK30"/>
    <mergeCell ref="A22:AD22"/>
    <mergeCell ref="AL18:AS18"/>
    <mergeCell ref="A19:AD19"/>
    <mergeCell ref="M36:Q36"/>
    <mergeCell ref="V9:AD10"/>
    <mergeCell ref="AE16:AJ16"/>
    <mergeCell ref="AM6:AN6"/>
    <mergeCell ref="G36:L36"/>
    <mergeCell ref="AL20:AS20"/>
    <mergeCell ref="AE18:AJ18"/>
  </mergeCells>
  <conditionalFormatting sqref="A11:A19">
    <cfRule type="expression" priority="14" dxfId="0">
      <formula>$DD11="×"</formula>
    </cfRule>
  </conditionalFormatting>
  <conditionalFormatting sqref="G11:G15">
    <cfRule type="expression" priority="13" dxfId="0">
      <formula>$DE11="×"</formula>
    </cfRule>
  </conditionalFormatting>
  <conditionalFormatting sqref="G34">
    <cfRule type="expression" priority="251" dxfId="0">
      <formula>OR(AE20&lt;&gt;G38,$G$34="")</formula>
    </cfRule>
  </conditionalFormatting>
  <conditionalFormatting sqref="G36">
    <cfRule type="expression" priority="89" dxfId="0">
      <formula>OR(AE20&lt;&gt;$G$38,$G$36="")</formula>
    </cfRule>
  </conditionalFormatting>
  <conditionalFormatting sqref="G37">
    <cfRule type="expression" priority="252" dxfId="0">
      <formula>OR(AE20&lt;&gt;G38,$G$37="")</formula>
    </cfRule>
  </conditionalFormatting>
  <conditionalFormatting sqref="M36">
    <cfRule type="expression" priority="15" dxfId="0">
      <formula>AND($G$36&gt;0,$M$36="")</formula>
    </cfRule>
  </conditionalFormatting>
  <conditionalFormatting sqref="M37">
    <cfRule type="expression" priority="17" dxfId="0">
      <formula>AND($G$37&gt;0,$M$37="")</formula>
    </cfRule>
  </conditionalFormatting>
  <conditionalFormatting sqref="V11:V15">
    <cfRule type="expression" priority="11" dxfId="0">
      <formula>$DF11="×"</formula>
    </cfRule>
  </conditionalFormatting>
  <conditionalFormatting sqref="V5:AJ5">
    <cfRule type="expression" priority="71" dxfId="0">
      <formula>$V$5=""</formula>
    </cfRule>
  </conditionalFormatting>
  <conditionalFormatting sqref="AA34">
    <cfRule type="expression" priority="104" dxfId="0">
      <formula>OR($AE$21&lt;&gt;$G$35,$AA$34="")</formula>
    </cfRule>
  </conditionalFormatting>
  <conditionalFormatting sqref="AA35">
    <cfRule type="expression" priority="85" dxfId="0">
      <formula>OR($AE$21&lt;&gt;$G$35,$AA$35="")</formula>
    </cfRule>
  </conditionalFormatting>
  <conditionalFormatting sqref="AA36">
    <cfRule type="expression" priority="84" dxfId="0">
      <formula>OR($AE$21&lt;&gt;$G$35,$AA$36="")</formula>
    </cfRule>
  </conditionalFormatting>
  <conditionalFormatting sqref="AE10:AJ10">
    <cfRule type="expression" priority="70" dxfId="0">
      <formula>AND($AE$10&lt;&gt;"（税込）", $AE$10&lt;&gt;"（税抜）")</formula>
    </cfRule>
  </conditionalFormatting>
  <conditionalFormatting sqref="AE11:AJ15">
    <cfRule type="expression" priority="10" dxfId="0">
      <formula>$DG11="×"</formula>
    </cfRule>
  </conditionalFormatting>
  <conditionalFormatting sqref="AE17:AJ17">
    <cfRule type="expression" priority="30" dxfId="0">
      <formula>$AM$17="×"</formula>
    </cfRule>
  </conditionalFormatting>
  <conditionalFormatting sqref="AE19:AJ19">
    <cfRule type="expression" priority="29" dxfId="0">
      <formula>$AM$19="×"</formula>
    </cfRule>
  </conditionalFormatting>
  <conditionalFormatting sqref="AE21:AJ21">
    <cfRule type="expression" priority="28" dxfId="0">
      <formula>$AM$21="×"</formula>
    </cfRule>
  </conditionalFormatting>
  <conditionalFormatting sqref="AE22:AJ22">
    <cfRule type="expression" priority="26" dxfId="0">
      <formula>$AE$22="いいえ"</formula>
    </cfRule>
  </conditionalFormatting>
  <conditionalFormatting sqref="AF35">
    <cfRule type="expression" priority="83" dxfId="0">
      <formula>AND($AA$35&gt;0,$AF$35="")</formula>
    </cfRule>
  </conditionalFormatting>
  <conditionalFormatting sqref="AF36">
    <cfRule type="expression" priority="82" dxfId="0">
      <formula>AND($AA$36&gt;0,$AF$36="")</formula>
    </cfRule>
  </conditionalFormatting>
  <conditionalFormatting sqref="AM26">
    <cfRule type="expression" priority="103" dxfId="0">
      <formula>$DD26="×"</formula>
    </cfRule>
  </conditionalFormatting>
  <conditionalFormatting sqref="AN5">
    <cfRule type="expression" priority="3" dxfId="2">
      <formula>$AN$4="採択後金額入力"</formula>
    </cfRule>
  </conditionalFormatting>
  <conditionalFormatting sqref="AO5">
    <cfRule type="expression" priority="1" dxfId="1">
      <formula>$AN$4="採択後金額入力"</formula>
    </cfRule>
  </conditionalFormatting>
  <dataValidations count="8">
    <dataValidation sqref="AE10:AJ10" showDropDown="0" showInputMessage="1" showErrorMessage="0" allowBlank="1" type="list">
      <formula1>"　,（税抜）,（税込）"</formula1>
    </dataValidation>
    <dataValidation sqref="G11:G15 V11:V15" showDropDown="0" showInputMessage="1" showErrorMessage="1" allowBlank="1" type="textLength">
      <formula1>0</formula1>
      <formula2>100</formula2>
    </dataValidation>
    <dataValidation sqref="G34:L34 G36:L37 AA35:AE36 AE11:AE19" showDropDown="0" showInputMessage="1" showErrorMessage="1" allowBlank="1" type="whole" operator="greaterThanOrEqual">
      <formula1>0</formula1>
    </dataValidation>
    <dataValidation sqref="AM17:AO17 AM19:AO19 AM21:AM22 AM38 AN21 AN22:AR22" showDropDown="0" showInputMessage="1" showErrorMessage="1" allowBlank="1" promptTitle="自動判定されます" prompt="計算式が入力してありますので自動判定されます"/>
    <dataValidation sqref="AA34:AE34" showDropDown="0" showInputMessage="1" showErrorMessage="1" allowBlank="1" type="whole" imeMode="disabled" operator="greaterThanOrEqual">
      <formula1>0</formula1>
    </dataValidation>
    <dataValidation sqref="AO6" showDropDown="0" showInputMessage="1" showErrorMessage="1" allowBlank="1" errorTitle="補助上限額入力エラー" error="補助上限額は、通常：200万円・インボイス特例：250万円までを入力してください。" type="whole" errorStyle="warning" imeMode="disabled">
      <formula1>0</formula1>
      <formula2>2500000</formula2>
    </dataValidation>
    <dataValidation sqref="AN4" showDropDown="0" showInputMessage="1" showErrorMessage="1" allowBlank="1" type="list">
      <formula1>"通常→２００万円,ｲﾝﾎﾞｲｽ特例→２５０万,採択後金額入力"</formula1>
    </dataValidation>
    <dataValidation sqref="AN5" showDropDown="0" showInputMessage="1" showErrorMessage="1" allowBlank="1" type="custom">
      <formula1>AN4="採択後金額入力"</formula1>
    </dataValidation>
  </dataValidations>
  <printOptions horizontalCentered="1"/>
  <pageMargins left="0.7086614173228347" right="0.7086614173228347" top="0.5905511811023623" bottom="0.5905511811023623" header="0.3149606299212598" footer="0.3149606299212598"/>
  <pageSetup orientation="portrait" paperSize="9" scale="89"/>
  <headerFooter differentFirst="1">
    <oddHeader/>
    <oddFooter/>
    <evenHeader/>
    <evenFooter/>
    <firstHeader/>
    <firstFooter/>
  </headerFooter>
</worksheet>
</file>

<file path=xl/worksheets/sheet2.xml><?xml version="1.0" encoding="utf-8"?>
<worksheet xmlns="http://schemas.openxmlformats.org/spreadsheetml/2006/main">
  <sheetPr codeName="ExpenseCategoryListSheet">
    <outlinePr summaryBelow="1" summaryRight="1"/>
    <pageSetUpPr/>
  </sheetPr>
  <dimension ref="A1:Y60"/>
  <sheetViews>
    <sheetView topLeftCell="A25" workbookViewId="0">
      <selection activeCell="E49" sqref="E49"/>
    </sheetView>
  </sheetViews>
  <sheetFormatPr baseColWidth="8" defaultRowHeight="13.15"/>
  <cols>
    <col width="3.42578125" customWidth="1" style="249" min="1" max="1"/>
    <col width="15.42578125" customWidth="1" style="249" min="2" max="2"/>
    <col width="9.7109375" customWidth="1" style="249" min="3" max="3"/>
    <col width="18" bestFit="1" customWidth="1" style="249" min="4" max="4"/>
    <col width="10.42578125" customWidth="1" style="249" min="5" max="5"/>
    <col width="17.7109375" customWidth="1" style="249" min="6" max="6"/>
    <col width="18.28515625" bestFit="1" customWidth="1" style="249" min="7" max="7"/>
    <col width="20" customWidth="1" style="249" min="8" max="8"/>
    <col width="19.28515625" customWidth="1" style="249" min="9" max="9"/>
    <col width="17.7109375" customWidth="1" style="249" min="10" max="10"/>
    <col width="18" customWidth="1" style="249" min="11" max="11"/>
    <col width="19.28515625" customWidth="1" style="249" min="12" max="12"/>
    <col width="13.42578125" customWidth="1" style="249" min="13" max="13"/>
    <col width="20.42578125" customWidth="1" style="249" min="14" max="14"/>
    <col width="11.140625" customWidth="1" style="249" min="15" max="15"/>
    <col width="16.140625" customWidth="1" style="249" min="16" max="17"/>
    <col width="13.85546875" customWidth="1" style="249" min="18" max="18"/>
    <col width="12.42578125" customWidth="1" style="249" min="19" max="25"/>
  </cols>
  <sheetData>
    <row r="1" ht="53.1" customFormat="1" customHeight="1" s="43">
      <c r="A1" s="17" t="inlineStr">
        <is>
          <t>No</t>
        </is>
      </c>
      <c r="B1" s="17" t="inlineStr">
        <is>
          <t>区分名称</t>
        </is>
      </c>
      <c r="C1" s="17" t="inlineStr">
        <is>
          <t>処理フラグ(1:通常、2:設備処分費)</t>
        </is>
      </c>
      <c r="D1" s="17" t="inlineStr">
        <is>
          <t>⑤対象経費合計</t>
        </is>
      </c>
      <c r="E1" s="119" t="inlineStr">
        <is>
          <t>最高金額</t>
        </is>
      </c>
      <c r="F1" s="17" t="inlineStr">
        <is>
          <t>⑤対象経費合計*2/3</t>
        </is>
      </c>
      <c r="G1" s="17" t="inlineStr">
        <is>
          <t>⑥交付申請額合計
上限チェック後</t>
        </is>
      </c>
      <c r="H1" s="41" t="inlineStr">
        <is>
          <t>②交付申請額合計</t>
        </is>
      </c>
      <c r="I1" s="17" t="inlineStr">
        <is>
          <t>②ｳｪﾌﾞｻｲﾄ関連費除
交付申請額*2/3</t>
        </is>
      </c>
      <c r="J1" s="17" t="inlineStr">
        <is>
          <t>②ｳｪﾌﾞｻｲﾄ関連費除
交付申請額上限</t>
        </is>
      </c>
      <c r="K1" s="17" t="inlineStr">
        <is>
          <t>①ｳｪﾌﾞｻｲﾄ関連費除
対象経費小計</t>
        </is>
      </c>
      <c r="L1" s="17" t="inlineStr">
        <is>
          <t>④条件２
対象経費小計*2/3</t>
        </is>
      </c>
      <c r="M1" s="17" t="inlineStr">
        <is>
          <t>④条件１－１
補助対象経費合計/4</t>
        </is>
      </c>
      <c r="N1" s="17" t="inlineStr">
        <is>
          <t>④条件１－２
経費小計上限チェック</t>
        </is>
      </c>
      <c r="O1" s="17" t="inlineStr">
        <is>
          <t>④ｳｪﾌﾞｻｲﾄ関連費
交付申請額</t>
        </is>
      </c>
      <c r="P1" s="17" t="inlineStr">
        <is>
          <t>④ｳｪﾌﾞｻｲﾄ関連費の判定</t>
        </is>
      </c>
      <c r="Q1" s="17" t="inlineStr">
        <is>
          <t>③ｳｪﾌﾞｻｲﾄ関連費　合計</t>
        </is>
      </c>
      <c r="R1" s="41" t="inlineStr">
        <is>
          <t>（d）が（f）の1/4以内であるか</t>
        </is>
      </c>
      <c r="S1" s="17" t="inlineStr">
        <is>
          <t>補助対象経費合計/2</t>
        </is>
      </c>
      <c r="T1" s="42" t="inlineStr">
        <is>
          <t>⑨設備処分費　合計</t>
        </is>
      </c>
      <c r="U1" s="17" t="inlineStr">
        <is>
          <t>⑨設備処分費の判定</t>
        </is>
      </c>
      <c r="V1" s="119" t="inlineStr">
        <is>
          <t>チェックボックスの条件（未チェック）</t>
        </is>
      </c>
      <c r="W1" s="119" t="inlineStr">
        <is>
          <t>チェックボックスの条件（複数チェック）</t>
        </is>
      </c>
      <c r="X1" s="17" t="inlineStr">
        <is>
          <t>チェックボックスの条件（赤字事業者チェック）</t>
        </is>
      </c>
      <c r="Y1" s="17" t="inlineStr">
        <is>
          <t>チェックボックスの条件（総合判定）</t>
        </is>
      </c>
    </row>
    <row r="2">
      <c r="A2" s="1" t="n">
        <v>1</v>
      </c>
      <c r="B2" s="1" t="inlineStr">
        <is>
          <t>①機械装置等費</t>
        </is>
      </c>
      <c r="C2" s="1" t="n">
        <v>1</v>
      </c>
      <c r="D2" s="1">
        <f>SUM(補助事業計画書②!AE16+補助事業計画書②!AE18)</f>
        <v/>
      </c>
      <c r="E2" s="130">
        <f>補助事業計画書②!AO6</f>
        <v/>
      </c>
      <c r="F2" s="1">
        <f>ROUNDDOWN(補助事業計画書②!AE20*2/3,0)</f>
        <v/>
      </c>
      <c r="G2" s="1">
        <f>IF(F2&gt;E2,E2,F2)</f>
        <v/>
      </c>
      <c r="H2" s="291">
        <f>G33</f>
        <v/>
      </c>
      <c r="I2" s="1">
        <f>ROUNDDOWN(補助事業計画書②!AE16*2/3,0)</f>
        <v/>
      </c>
      <c r="J2" s="1">
        <f>H2-O2</f>
        <v/>
      </c>
      <c r="K2" s="39">
        <f>SUMIF(補助事業計画書②!A11:A15,"&lt;&gt;③ウェブサイト関連費",補助事業計画書②!AE11:AE15)</f>
        <v/>
      </c>
      <c r="L2" s="1">
        <f>ROUNDDOWN(補助事業計画書②!AE18*2/3,0)</f>
        <v/>
      </c>
      <c r="M2" s="1">
        <f>ROUNDDOWN(H2/4,0)</f>
        <v/>
      </c>
      <c r="N2" s="1">
        <f>IF(M2&gt;500000,500000,M2)</f>
        <v/>
      </c>
      <c r="O2" s="1">
        <f>IF(N2&gt;L2,L2,N2)</f>
        <v/>
      </c>
      <c r="P2" s="10">
        <f>IF(L2&lt;=N2,"○","×")</f>
        <v/>
      </c>
      <c r="Q2" s="39">
        <f>SUMIF(補助事業計画書②!A11:A15,"③ウェブサイト関連費",補助事業計画書②!AE11:AE15)</f>
        <v/>
      </c>
      <c r="R2" s="54">
        <f>IF(補助事業計画書②!AE17="","いいえ",IF(補助事業計画書②!AE17=0,"いいえ",IF(補助事業計画書②!AE21&lt;補助事業計画書②!AE19*4,"いいえ","はい")))</f>
        <v/>
      </c>
      <c r="S2" s="1">
        <f>ROUNDDOWN(補助事業計画書②!AE20/2,0)</f>
        <v/>
      </c>
      <c r="T2" s="1">
        <f>SUMIF(補助事業計画書②!A:A,"⑨設備処分費",補助事業計画書②!AE:AE)</f>
        <v/>
      </c>
      <c r="U2" s="10">
        <f>IF(T2&lt;=S2,"○","×")</f>
        <v/>
      </c>
      <c r="V2" s="118">
        <f>"○"</f>
        <v/>
      </c>
      <c r="W2" s="118">
        <f>"○"</f>
        <v/>
      </c>
      <c r="X2" s="10">
        <f>"○"</f>
        <v/>
      </c>
      <c r="Y2" s="10">
        <f>IF(AND(V2="○",W2="○",X2="○"),"○","×")</f>
        <v/>
      </c>
    </row>
    <row r="3">
      <c r="A3" s="1" t="n">
        <v>2</v>
      </c>
      <c r="B3" s="1" t="inlineStr">
        <is>
          <t>②広報費</t>
        </is>
      </c>
      <c r="C3" s="1" t="n">
        <v>1</v>
      </c>
      <c r="G3" s="0" t="inlineStr">
        <is>
          <t>EとFの小さいほう</t>
        </is>
      </c>
      <c r="I3" s="0" t="inlineStr">
        <is>
          <t>以外の2/3</t>
        </is>
      </c>
      <c r="J3" s="0" t="inlineStr">
        <is>
          <t>H-I</t>
        </is>
      </c>
      <c r="K3" s="0" t="inlineStr">
        <is>
          <t>以外の合計</t>
        </is>
      </c>
      <c r="L3" s="0" t="inlineStr">
        <is>
          <t>関連費*2/3</t>
        </is>
      </c>
      <c r="M3" s="0" t="inlineStr">
        <is>
          <t>Hの1/4</t>
        </is>
      </c>
      <c r="V3" s="53" t="n"/>
      <c r="W3" s="53" t="n"/>
      <c r="X3" s="53" t="n"/>
      <c r="Y3" s="53" t="n"/>
    </row>
    <row r="4">
      <c r="A4" s="1" t="n">
        <v>3</v>
      </c>
      <c r="B4" s="1" t="inlineStr">
        <is>
          <t>③ウェブサイト関連費</t>
        </is>
      </c>
      <c r="C4" s="1" t="n">
        <v>1</v>
      </c>
      <c r="U4" s="12" t="n"/>
    </row>
    <row r="5">
      <c r="A5" s="1" t="n">
        <v>4</v>
      </c>
      <c r="B5" s="1" t="inlineStr">
        <is>
          <t>④展示会等出展費</t>
        </is>
      </c>
      <c r="C5" s="58" t="n">
        <v>1</v>
      </c>
      <c r="D5" s="59" t="n"/>
      <c r="E5" s="60" t="n"/>
      <c r="F5" s="60" t="n"/>
      <c r="G5" s="60" t="n"/>
      <c r="H5" s="60" t="n"/>
      <c r="I5" s="60" t="n"/>
      <c r="J5" s="60" t="n"/>
      <c r="K5" s="60" t="n"/>
      <c r="L5" s="60" t="n"/>
      <c r="M5" s="60" t="n"/>
      <c r="N5" s="60" t="n"/>
      <c r="O5" s="60" t="n"/>
      <c r="P5" s="60" t="n"/>
      <c r="Q5" s="61" t="n"/>
      <c r="U5" s="12" t="n"/>
    </row>
    <row r="6">
      <c r="A6" s="1" t="n">
        <v>5</v>
      </c>
      <c r="B6" s="1" t="inlineStr">
        <is>
          <t>⑤旅費</t>
        </is>
      </c>
      <c r="C6" s="58" t="n">
        <v>1</v>
      </c>
      <c r="D6" s="78" t="inlineStr">
        <is>
          <t>計算</t>
        </is>
      </c>
      <c r="E6" s="77" t="n"/>
      <c r="G6" s="292" t="n"/>
      <c r="H6" s="292" t="n"/>
      <c r="I6" s="292" t="n"/>
      <c r="J6" s="27" t="n"/>
      <c r="K6" s="27" t="n"/>
      <c r="Q6" s="64" t="n"/>
    </row>
    <row r="7">
      <c r="A7" s="1" t="n">
        <v>6</v>
      </c>
      <c r="B7" s="1" t="inlineStr">
        <is>
          <t>⑥新商品開発費</t>
        </is>
      </c>
      <c r="C7" s="58" t="n">
        <v>1</v>
      </c>
      <c r="D7" s="62" t="n"/>
      <c r="E7" s="27" t="n"/>
      <c r="F7" s="27" t="n"/>
      <c r="G7" s="292" t="n"/>
      <c r="H7" s="292" t="n"/>
      <c r="I7" s="27" t="n"/>
      <c r="J7" s="27" t="n"/>
      <c r="K7" s="27" t="n"/>
      <c r="L7" s="27" t="inlineStr">
        <is>
          <t>計算方法シートの</t>
        </is>
      </c>
      <c r="M7" s="27" t="n"/>
      <c r="N7" s="27" t="inlineStr">
        <is>
          <t>計算方法シートの</t>
        </is>
      </c>
      <c r="O7" s="27" t="n"/>
      <c r="P7" s="27" t="n"/>
      <c r="Q7" s="64" t="n"/>
    </row>
    <row r="8">
      <c r="A8" s="1" t="n">
        <v>7</v>
      </c>
      <c r="B8" s="1" t="inlineStr">
        <is>
          <t>⑦借料</t>
        </is>
      </c>
      <c r="C8" s="58" t="n">
        <v>1</v>
      </c>
      <c r="D8" s="62" t="n"/>
      <c r="E8" s="27" t="inlineStr">
        <is>
          <t>可変</t>
        </is>
      </c>
      <c r="F8" s="293" t="n"/>
      <c r="G8" s="292" t="inlineStr">
        <is>
          <t>補助率</t>
        </is>
      </c>
      <c r="H8" s="292">
        <f>"2/3"</f>
        <v/>
      </c>
      <c r="I8" s="27" t="n"/>
      <c r="J8" s="27" t="n"/>
      <c r="K8" s="27" t="n"/>
      <c r="L8" s="27" t="inlineStr">
        <is>
          <t>申請額が一意になる場合</t>
        </is>
      </c>
      <c r="M8" s="27" t="n"/>
      <c r="N8" s="27" t="inlineStr">
        <is>
          <t>申請額に範囲がある場合</t>
        </is>
      </c>
      <c r="O8" s="27" t="n"/>
      <c r="P8" s="27" t="n"/>
      <c r="Q8" s="64" t="n"/>
    </row>
    <row r="9">
      <c r="A9" s="1" t="n">
        <v>8</v>
      </c>
      <c r="B9" s="1" t="inlineStr">
        <is>
          <t>⑧委託・外注費</t>
        </is>
      </c>
      <c r="C9" s="58" t="n">
        <v>1</v>
      </c>
      <c r="D9" s="62" t="n"/>
      <c r="E9" s="27" t="n"/>
      <c r="F9" s="27" t="n"/>
      <c r="G9" s="292" t="inlineStr">
        <is>
          <t>補助率文言</t>
        </is>
      </c>
      <c r="H9" s="294">
        <f>  "(1)×補助率 " &amp; H8 &amp;"(※)以内(円未満切捨て)"</f>
        <v/>
      </c>
      <c r="I9" s="27" t="n"/>
      <c r="J9" s="27" t="n"/>
      <c r="K9" s="27" t="n"/>
      <c r="L9" s="27" t="n"/>
      <c r="M9" s="27" t="n"/>
      <c r="N9" s="27" t="n"/>
      <c r="O9" s="27" t="n"/>
      <c r="P9" s="27" t="n"/>
      <c r="Q9" s="64" t="n"/>
    </row>
    <row r="10">
      <c r="A10" s="121" t="n"/>
      <c r="B10" s="121" t="n"/>
      <c r="C10" s="121" t="n"/>
      <c r="D10" s="62" t="n"/>
      <c r="E10" s="27" t="n"/>
      <c r="F10" s="27" t="n"/>
      <c r="G10" s="292" t="inlineStr">
        <is>
          <t>補助率文言</t>
        </is>
      </c>
      <c r="H10" s="66">
        <f>"((6)の1/4を上限(最大50万円))、(c)×補助率 " &amp; H8 &amp; " (※)以内(円未満切捨て)"</f>
        <v/>
      </c>
      <c r="I10" s="292" t="n"/>
      <c r="J10" s="27" t="n"/>
      <c r="K10" s="27" t="n"/>
      <c r="L10" s="27" t="n"/>
      <c r="M10" s="27" t="n"/>
      <c r="N10" s="27" t="inlineStr">
        <is>
          <t>Web以外の申請額が最大</t>
        </is>
      </c>
      <c r="O10" s="27" t="n"/>
      <c r="P10" s="27" t="inlineStr">
        <is>
          <t>Webの申請額が最大</t>
        </is>
      </c>
      <c r="Q10" s="64" t="n"/>
    </row>
    <row r="11" ht="13.15" customHeight="1" s="249">
      <c r="D11" s="62" t="n"/>
      <c r="E11" s="246" t="inlineStr">
        <is>
          <t>Web以外
(下段端数)</t>
        </is>
      </c>
      <c r="F11" s="29" t="inlineStr">
        <is>
          <t>a経費(=K2)</t>
        </is>
      </c>
      <c r="G11" s="295">
        <f>"a*2/3"</f>
        <v/>
      </c>
      <c r="H11" s="296">
        <f>"(" &amp; "a*2/3" &amp; ") /3"</f>
        <v/>
      </c>
      <c r="I11" s="297" t="inlineStr">
        <is>
          <t>b.補助額の最大値</t>
        </is>
      </c>
      <c r="J11" s="27" t="n"/>
      <c r="K11" s="27" t="n"/>
      <c r="L11" s="297" t="inlineStr">
        <is>
          <t>b.Web以外の申請額</t>
        </is>
      </c>
      <c r="M11" s="27" t="n"/>
      <c r="N11" s="297" t="inlineStr">
        <is>
          <t>b.Web以外の申請額</t>
        </is>
      </c>
      <c r="O11" s="242" t="inlineStr">
        <is>
          <t>～</t>
        </is>
      </c>
      <c r="P11" s="297" t="inlineStr">
        <is>
          <t>b.Web以外の申請額</t>
        </is>
      </c>
      <c r="Q11" s="64" t="n"/>
    </row>
    <row r="12">
      <c r="D12" s="62" t="n">
        <v>12</v>
      </c>
      <c r="E12" s="298" t="n"/>
      <c r="F12" s="299">
        <f>K2</f>
        <v/>
      </c>
      <c r="G12" s="300">
        <f>ROUNDDOWN(F12*2/3,0)</f>
        <v/>
      </c>
      <c r="H12" s="301">
        <f>ROUNDDOWN(G12/3,0)</f>
        <v/>
      </c>
      <c r="I12" s="301">
        <f>G12</f>
        <v/>
      </c>
      <c r="J12" s="302" t="n"/>
      <c r="K12" s="302" t="n"/>
      <c r="L12" s="301">
        <f>IF(I20&lt;=G20,I12,"")</f>
        <v/>
      </c>
      <c r="M12" s="27" t="n"/>
      <c r="N12" s="301">
        <f>IF(I20&lt;=G20,"",IF(I12&gt;G20,G20,I12))</f>
        <v/>
      </c>
      <c r="O12" s="298" t="n"/>
      <c r="P12" s="301">
        <f>IF(I20&lt;=G20,"",G20-P16)</f>
        <v/>
      </c>
      <c r="Q12" s="64" t="n"/>
    </row>
    <row r="13">
      <c r="D13" s="62" t="n">
        <v>13</v>
      </c>
      <c r="E13" s="298" t="n"/>
      <c r="F13" s="298" t="n"/>
      <c r="G13" s="303" t="n"/>
      <c r="H13" s="304">
        <f>ROUNDDOWN(G12/3,3)</f>
        <v/>
      </c>
      <c r="I13" s="301" t="n"/>
      <c r="J13" s="302" t="n"/>
      <c r="K13" s="302" t="n"/>
      <c r="L13" s="301" t="n"/>
      <c r="M13" s="27" t="n"/>
      <c r="N13" s="301" t="n"/>
      <c r="O13" s="298" t="n"/>
      <c r="P13" s="301" t="n"/>
      <c r="Q13" s="64" t="n"/>
    </row>
    <row r="14">
      <c r="D14" s="62" t="n">
        <v>14</v>
      </c>
      <c r="E14" s="305" t="n"/>
      <c r="F14" s="305" t="n"/>
      <c r="G14" s="303">
        <f>ROUNDDOWN(F12*2/3,3) - G12</f>
        <v/>
      </c>
      <c r="H14" s="304">
        <f>ROUNDDOWN(G12/3,3) - H12</f>
        <v/>
      </c>
      <c r="I14" s="304">
        <f>G14</f>
        <v/>
      </c>
      <c r="J14" s="302" t="n"/>
      <c r="K14" s="302" t="n"/>
      <c r="L14" s="301" t="n"/>
      <c r="M14" s="27" t="n"/>
      <c r="N14" s="301" t="n"/>
      <c r="O14" s="298" t="n"/>
      <c r="P14" s="301" t="n"/>
      <c r="Q14" s="64" t="n"/>
    </row>
    <row r="15" ht="28.15" customHeight="1" s="249">
      <c r="D15" s="62" t="n">
        <v>15</v>
      </c>
      <c r="E15" s="244" t="inlineStr">
        <is>
          <t>Web
(下段端数)</t>
        </is>
      </c>
      <c r="F15" s="34" t="inlineStr">
        <is>
          <t>c経費(=Q2)</t>
        </is>
      </c>
      <c r="G15" s="306">
        <f>"c*2/3"</f>
        <v/>
      </c>
      <c r="H15" s="296">
        <f>"a*2/9"</f>
        <v/>
      </c>
      <c r="I15" s="307" t="inlineStr">
        <is>
          <t>d.補助額の最大値
と50万の小さい方</t>
        </is>
      </c>
      <c r="J15" s="296" t="inlineStr">
        <is>
          <t>d.補助額の最大値</t>
        </is>
      </c>
      <c r="K15" s="27" t="n"/>
      <c r="L15" s="296" t="inlineStr">
        <is>
          <t>d.Webの申請額</t>
        </is>
      </c>
      <c r="M15" s="27" t="n"/>
      <c r="N15" s="296" t="inlineStr">
        <is>
          <t>d.Webの申請額</t>
        </is>
      </c>
      <c r="O15" s="298" t="n"/>
      <c r="P15" s="296" t="inlineStr">
        <is>
          <t>d.Webの申請額</t>
        </is>
      </c>
      <c r="Q15" s="64" t="n"/>
    </row>
    <row r="16">
      <c r="D16" s="62" t="n">
        <v>16</v>
      </c>
      <c r="E16" s="298" t="n"/>
      <c r="F16" s="299">
        <f>Q2</f>
        <v/>
      </c>
      <c r="G16" s="300">
        <f>ROUNDDOWN(F16*2/3,0)</f>
        <v/>
      </c>
      <c r="H16" s="308">
        <f>ROUNDDOWN(F12*2/9,0)</f>
        <v/>
      </c>
      <c r="I16" s="301">
        <f>IF(J16&lt;500000,J16,500000)</f>
        <v/>
      </c>
      <c r="J16" s="301">
        <f>IF(IF(G16&gt;H12,H12,G16)&gt;H20,H20,IF(G16&gt;H12,H12,G16))</f>
        <v/>
      </c>
      <c r="K16" s="302" t="n"/>
      <c r="L16" s="301">
        <f>IF(I20&lt;=G20,I16,"")</f>
        <v/>
      </c>
      <c r="M16" s="0">
        <f>IF(L16="","",IF(L16*4&gt;L20,"×","〇"))</f>
        <v/>
      </c>
      <c r="N16" s="301">
        <f>IF(I20&lt;=G20,"",G20-N12)</f>
        <v/>
      </c>
      <c r="O16" s="298" t="n"/>
      <c r="P16" s="301">
        <f>IF(I20&lt;=G20,"",IF(ROUNDDOWN(G20/4,0)&gt;I16,I16,ROUNDDOWN(G20/4,0)))</f>
        <v/>
      </c>
      <c r="Q16" s="64" t="n"/>
    </row>
    <row r="17">
      <c r="D17" s="62" t="n">
        <v>17</v>
      </c>
      <c r="E17" s="298" t="n"/>
      <c r="F17" s="298" t="n"/>
      <c r="G17" s="303">
        <f>ROUNDDOWN(F16*2/3,3)</f>
        <v/>
      </c>
      <c r="H17" s="309">
        <f>ROUNDDOWN(F12*2/9,3)</f>
        <v/>
      </c>
      <c r="I17" s="304">
        <f>IF(J16&lt;500000,J17,500000)</f>
        <v/>
      </c>
      <c r="J17" s="304">
        <f>IF(IF(G17&gt;H13,H13,G17)&gt;H21,H21,IF(G17&gt;H13,H13,G17))</f>
        <v/>
      </c>
      <c r="K17" s="302" t="n"/>
      <c r="L17" s="301" t="n"/>
      <c r="N17" s="301" t="n"/>
      <c r="O17" s="298" t="n"/>
      <c r="P17" s="301" t="n"/>
      <c r="Q17" s="64" t="n"/>
    </row>
    <row r="18">
      <c r="D18" s="62" t="n">
        <v>18</v>
      </c>
      <c r="E18" s="305" t="n"/>
      <c r="F18" s="305" t="n"/>
      <c r="G18" s="303">
        <f>ROUNDDOWN(F16*2/3,3)-G16</f>
        <v/>
      </c>
      <c r="H18" s="309">
        <f>ROUNDDOWN(F12*2/9,3) - H16</f>
        <v/>
      </c>
      <c r="I18" s="304">
        <f>IF(J16&lt;500000,J18,0)</f>
        <v/>
      </c>
      <c r="J18" s="304">
        <f>IF(IF(G17&gt;H13,H13,G17)&gt;H21,H22,IF(G17&gt;H13,H14,G18))</f>
        <v/>
      </c>
      <c r="K18" s="302" t="n"/>
      <c r="L18" s="301" t="n"/>
      <c r="N18" s="301" t="n"/>
      <c r="O18" s="298" t="n"/>
      <c r="P18" s="301" t="n"/>
      <c r="Q18" s="64" t="n"/>
    </row>
    <row r="19">
      <c r="D19" s="62" t="n">
        <v>19</v>
      </c>
      <c r="E19" s="27" t="n"/>
      <c r="F19" s="27" t="n"/>
      <c r="G19" s="87" t="inlineStr">
        <is>
          <t>最大補助額(=E2)</t>
        </is>
      </c>
      <c r="H19" s="296" t="inlineStr">
        <is>
          <t>f/4</t>
        </is>
      </c>
      <c r="I19" s="310" t="inlineStr">
        <is>
          <t>b+dの単純合計</t>
        </is>
      </c>
      <c r="J19" s="311" t="inlineStr">
        <is>
          <t>f.最終補助額</t>
        </is>
      </c>
      <c r="K19" s="27" t="n"/>
      <c r="L19" s="312" t="inlineStr">
        <is>
          <t>f.最終補助額</t>
        </is>
      </c>
      <c r="M19" s="27" t="n"/>
      <c r="N19" s="312" t="inlineStr">
        <is>
          <t>f.最終補助額</t>
        </is>
      </c>
      <c r="O19" s="298" t="n"/>
      <c r="P19" s="312" t="inlineStr">
        <is>
          <t>f.最終補助額</t>
        </is>
      </c>
      <c r="Q19" s="64" t="n"/>
    </row>
    <row r="20">
      <c r="D20" s="62" t="n">
        <v>20</v>
      </c>
      <c r="E20" s="27" t="n"/>
      <c r="F20" s="27" t="n"/>
      <c r="G20" s="299">
        <f>E2</f>
        <v/>
      </c>
      <c r="H20" s="313">
        <f>ROUNDDOWN(G20/4,0)</f>
        <v/>
      </c>
      <c r="I20" s="314">
        <f>I12+I16</f>
        <v/>
      </c>
      <c r="J20" s="315">
        <f>IF(G20&gt;I20+J22,I20+J22,G20)</f>
        <v/>
      </c>
      <c r="K20" s="316" t="n"/>
      <c r="L20" s="301">
        <f>IF(I20&lt;=G20,I20,"")</f>
        <v/>
      </c>
      <c r="M20" s="27" t="n"/>
      <c r="N20" s="301">
        <f>IF(I20&lt;=G20,"",N12+N16)</f>
        <v/>
      </c>
      <c r="O20" s="305" t="n"/>
      <c r="P20" s="301">
        <f>IF(I20&lt;=G20,"",P12+P16)</f>
        <v/>
      </c>
      <c r="Q20" s="64" t="n"/>
    </row>
    <row r="21">
      <c r="D21" s="62" t="n">
        <v>21</v>
      </c>
      <c r="E21" s="27" t="n"/>
      <c r="F21" s="27" t="n"/>
      <c r="G21" s="298" t="n"/>
      <c r="H21" s="317">
        <f>ROUNDDOWN(G20/4,3)</f>
        <v/>
      </c>
      <c r="I21" s="318" t="n"/>
      <c r="J21" s="319" t="n"/>
      <c r="K21" s="316" t="n"/>
      <c r="L21" s="292" t="n"/>
      <c r="M21" s="27" t="n"/>
      <c r="N21" s="292" t="n"/>
      <c r="O21" s="85" t="n"/>
      <c r="P21" s="292" t="n"/>
      <c r="Q21" s="64" t="n"/>
    </row>
    <row r="22">
      <c r="D22" s="62" t="n">
        <v>22</v>
      </c>
      <c r="E22" s="27" t="n"/>
      <c r="F22" s="27" t="n"/>
      <c r="G22" s="305" t="n"/>
      <c r="H22" s="317">
        <f>ROUNDDOWN(G20/4,3) - H20</f>
        <v/>
      </c>
      <c r="I22" s="320">
        <f>I14+I18</f>
        <v/>
      </c>
      <c r="J22" s="321">
        <f>IF(I20&lt;G20,IF(I22&gt;=1,1,0),0)</f>
        <v/>
      </c>
      <c r="K22" s="316" t="inlineStr">
        <is>
          <t>←端数から算出した加算値</t>
        </is>
      </c>
      <c r="L22" s="292" t="n"/>
      <c r="M22" s="27" t="n"/>
      <c r="N22" s="292" t="n"/>
      <c r="O22" s="85" t="n"/>
      <c r="P22" s="292" t="n"/>
      <c r="Q22" s="64" t="n"/>
    </row>
    <row r="23">
      <c r="D23" s="62" t="n">
        <v>23</v>
      </c>
      <c r="E23" s="69" t="n"/>
      <c r="F23" s="69" t="n"/>
      <c r="G23" s="322" t="n"/>
      <c r="H23" s="322" t="n"/>
      <c r="I23" s="322" t="n"/>
      <c r="J23" s="69" t="n"/>
      <c r="K23" s="69" t="n"/>
      <c r="L23" s="69" t="n"/>
      <c r="M23" s="69" t="n"/>
      <c r="N23" s="69" t="n"/>
      <c r="O23" s="69" t="n"/>
      <c r="P23" s="69" t="n"/>
      <c r="Q23" s="71" t="n"/>
    </row>
    <row r="24">
      <c r="D24" s="59" t="n"/>
      <c r="E24" s="72" t="n"/>
      <c r="F24" s="72" t="n"/>
      <c r="G24" s="323" t="n"/>
      <c r="H24" s="323" t="n"/>
      <c r="I24" s="323" t="n"/>
      <c r="J24" s="72" t="n"/>
      <c r="K24" s="74" t="n"/>
      <c r="L24" s="27" t="n"/>
      <c r="M24" s="27" t="n"/>
      <c r="N24" s="27" t="n"/>
      <c r="O24" s="27" t="n"/>
      <c r="P24" s="27" t="n"/>
    </row>
    <row r="25">
      <c r="D25" s="78" t="inlineStr">
        <is>
          <t>計算結果(表示用)</t>
        </is>
      </c>
      <c r="F25" s="27" t="n"/>
      <c r="G25" s="27" t="n"/>
      <c r="H25" s="292" t="n"/>
      <c r="I25" s="292" t="n"/>
      <c r="J25" s="292" t="n"/>
      <c r="K25" s="79" t="n"/>
      <c r="L25" s="27" t="n"/>
      <c r="M25" s="27" t="n"/>
      <c r="N25" s="27" t="n"/>
      <c r="O25" s="27" t="n"/>
      <c r="P25" s="27" t="n"/>
      <c r="Q25" s="27" t="n"/>
    </row>
    <row r="26">
      <c r="D26" s="78" t="n"/>
      <c r="F26" s="27" t="n"/>
      <c r="G26" s="27" t="n"/>
      <c r="H26" s="292" t="n"/>
      <c r="I26" s="292" t="n"/>
      <c r="J26" s="292" t="n"/>
      <c r="K26" s="79" t="n"/>
      <c r="L26" s="27" t="n"/>
      <c r="M26" s="27" t="n"/>
      <c r="N26" s="27" t="n"/>
      <c r="O26" s="27" t="n"/>
      <c r="P26" s="27" t="n"/>
      <c r="Q26" s="27" t="n"/>
    </row>
    <row r="27">
      <c r="D27" s="62" t="n"/>
      <c r="E27" s="20" t="inlineStr">
        <is>
          <t>▼判定式</t>
        </is>
      </c>
      <c r="F27" s="27" t="n"/>
      <c r="G27" s="27" t="inlineStr">
        <is>
          <t>Web以外の申請額が最大</t>
        </is>
      </c>
      <c r="H27" s="27" t="n"/>
      <c r="I27" s="27" t="inlineStr">
        <is>
          <t>Webの申請額が最大</t>
        </is>
      </c>
      <c r="J27" s="292" t="n"/>
      <c r="K27" s="79" t="n"/>
      <c r="L27" s="27" t="n"/>
      <c r="M27" s="27" t="n"/>
      <c r="N27" s="27" t="n"/>
      <c r="O27" s="27" t="n"/>
      <c r="P27" s="27" t="n"/>
      <c r="Q27" s="27" t="n"/>
    </row>
    <row r="28">
      <c r="D28" s="62" t="n"/>
      <c r="E28" s="297" t="inlineStr">
        <is>
          <t>b.Web以外の申請額</t>
        </is>
      </c>
      <c r="F28" s="27" t="n"/>
      <c r="G28" s="297" t="inlineStr">
        <is>
          <t>b.Web以外の申請額</t>
        </is>
      </c>
      <c r="H28" s="242" t="inlineStr">
        <is>
          <t>～</t>
        </is>
      </c>
      <c r="I28" s="297" t="inlineStr">
        <is>
          <t>b.Web以外の申請額</t>
        </is>
      </c>
      <c r="J28" s="292" t="n"/>
      <c r="K28" s="79" t="n"/>
      <c r="L28" s="27" t="n"/>
      <c r="M28" s="27" t="n"/>
      <c r="N28" s="27" t="n"/>
      <c r="O28" s="27" t="n"/>
      <c r="P28" s="27" t="n"/>
      <c r="Q28" s="27" t="n"/>
    </row>
    <row r="29" ht="16.15" customHeight="1" s="249">
      <c r="D29" s="62" t="n">
        <v>29</v>
      </c>
      <c r="E29" s="40">
        <f>IF(補助事業計画書②!AE17=0,"×",IF(補助事業計画書②!AE17&lt;I29,"×",IF(補助事業計画書②!AE17&gt;G29,"×","〇")))</f>
        <v/>
      </c>
      <c r="F29" s="0" t="n">
        <v>29</v>
      </c>
      <c r="G29" s="301">
        <f>IF(I20&lt;=G20,I12,IF(I12&gt;G20,G20,I12))</f>
        <v/>
      </c>
      <c r="H29" s="298" t="n"/>
      <c r="I29" s="301">
        <f>IF(I20&lt;=G20,I12,G20-P16)</f>
        <v/>
      </c>
      <c r="J29" s="292" t="n"/>
      <c r="K29" s="79" t="n"/>
      <c r="L29" s="27" t="n"/>
      <c r="M29" s="27" t="n"/>
      <c r="N29" s="27" t="n"/>
      <c r="O29" s="27" t="n"/>
      <c r="P29" s="27" t="n"/>
      <c r="Q29" s="27" t="n"/>
    </row>
    <row r="30">
      <c r="D30" s="62" t="n"/>
      <c r="E30" s="296" t="inlineStr">
        <is>
          <t>d.Webの申請額</t>
        </is>
      </c>
      <c r="G30" s="296" t="inlineStr">
        <is>
          <t>d.Webの申請額</t>
        </is>
      </c>
      <c r="H30" s="298" t="n"/>
      <c r="I30" s="296" t="inlineStr">
        <is>
          <t>d.Webの申請額</t>
        </is>
      </c>
      <c r="K30" s="64" t="n"/>
    </row>
    <row r="31" ht="16.15" customHeight="1" s="249">
      <c r="D31" s="62" t="n">
        <v>30</v>
      </c>
      <c r="E31" s="40">
        <f>IF(補助事業計画書②!AE19&gt;I31,"×",IF(補助事業計画書②!AE19&lt;G31,"×","〇"))</f>
        <v/>
      </c>
      <c r="F31" s="0" t="n">
        <v>30</v>
      </c>
      <c r="G31" s="301">
        <f>IF(I20&lt;=G20,I16,G20-N12)</f>
        <v/>
      </c>
      <c r="H31" s="298" t="n"/>
      <c r="I31" s="301">
        <f>IF(I20&lt;=G20,I16,IF(ROUNDDOWN(G20/4,0)&gt;I16,I16,ROUNDDOWN(G20/4,0)))</f>
        <v/>
      </c>
      <c r="K31" s="64" t="n"/>
    </row>
    <row r="32">
      <c r="D32" s="62" t="n"/>
      <c r="E32" s="312" t="inlineStr">
        <is>
          <t>f.最終補助額</t>
        </is>
      </c>
      <c r="G32" s="312" t="inlineStr">
        <is>
          <t>f.最終補助額</t>
        </is>
      </c>
      <c r="H32" s="298" t="n"/>
      <c r="I32" s="312" t="inlineStr">
        <is>
          <t>f.最終補助額</t>
        </is>
      </c>
      <c r="K32" s="64" t="n"/>
    </row>
    <row r="33" ht="16.15" customHeight="1" s="249">
      <c r="D33" s="62" t="n">
        <v>33</v>
      </c>
      <c r="E33" s="40" t="inlineStr">
        <is>
          <t>〇</t>
        </is>
      </c>
      <c r="F33" s="0" t="n">
        <v>33</v>
      </c>
      <c r="G33" s="301">
        <f>IF(I20&lt;=G20,I20,N12+N16)</f>
        <v/>
      </c>
      <c r="H33" s="305" t="n"/>
      <c r="I33" s="301">
        <f>IF(I20&lt;=G20,I20,I29+I31)</f>
        <v/>
      </c>
      <c r="K33" s="64" t="n"/>
    </row>
    <row r="34" ht="16.15" customHeight="1" s="249">
      <c r="D34" s="75" t="inlineStr">
        <is>
          <t>（d）が（f）の1/4以内であるか</t>
        </is>
      </c>
      <c r="E34" s="40">
        <f>IF(補助事業計画書②!AE17="","×",IF(補助事業計画書②!AE17=0,"×",IF(補助事業計画書②!AE21&lt;補助事業計画書②!AE19*4,"×","〇")))</f>
        <v/>
      </c>
      <c r="K34" s="64" t="n"/>
    </row>
    <row r="35">
      <c r="D35" s="62" t="n"/>
      <c r="K35" s="64" t="n"/>
    </row>
    <row r="36">
      <c r="D36" s="62" t="n"/>
      <c r="G36" s="1" t="inlineStr">
        <is>
          <t>入力値</t>
        </is>
      </c>
      <c r="H36" s="1" t="n"/>
      <c r="I36" s="240" t="inlineStr">
        <is>
          <t>経費内比率</t>
        </is>
      </c>
      <c r="J36" s="250" t="n"/>
      <c r="K36" s="64" t="n"/>
    </row>
    <row r="37" ht="13.5" customHeight="1" s="249">
      <c r="D37" s="120" t="inlineStr">
        <is>
          <t>上限補助額</t>
        </is>
      </c>
      <c r="E37" s="129">
        <f>E2</f>
        <v/>
      </c>
      <c r="F37" s="82" t="inlineStr">
        <is>
          <t>F37</t>
        </is>
      </c>
      <c r="G37" s="1" t="inlineStr">
        <is>
          <t>(a)以外経費</t>
        </is>
      </c>
      <c r="H37" s="324">
        <f>K2</f>
        <v/>
      </c>
      <c r="I37" s="10" t="inlineStr">
        <is>
          <t>以外補助額/以外経費</t>
        </is>
      </c>
      <c r="J37" s="273" t="n"/>
      <c r="K37" s="64" t="n"/>
    </row>
    <row r="38">
      <c r="D38" s="62" t="inlineStr">
        <is>
          <t>編集</t>
        </is>
      </c>
      <c r="E38" s="95">
        <f>IF(V2="×","",DBCS(FIXED(E37,0)) &amp; "円")</f>
        <v/>
      </c>
      <c r="F38" s="82" t="inlineStr">
        <is>
          <t>F38</t>
        </is>
      </c>
      <c r="G38" s="1" t="inlineStr">
        <is>
          <t>(b)以外補助額</t>
        </is>
      </c>
      <c r="H38" s="301">
        <f>補助事業計画書②!$AE$17</f>
        <v/>
      </c>
      <c r="I38" s="325">
        <f>IF(AND(H37=0,H38=0),0,IF(OR(H37=0,H37=""),"",ROUNDDOWN(H38*100/H37,2)))</f>
        <v/>
      </c>
      <c r="J38" s="1">
        <f>IF(補助事業計画書②!AE17="","",IF(I38="","",TEXT(I38,"##0.00")&amp;"%"))</f>
        <v/>
      </c>
      <c r="K38" s="64" t="n"/>
    </row>
    <row r="39">
      <c r="D39" s="62" t="inlineStr">
        <is>
          <t>補助率</t>
        </is>
      </c>
      <c r="E39" s="292">
        <f>H8</f>
        <v/>
      </c>
      <c r="F39" s="82" t="inlineStr">
        <is>
          <t>F39</t>
        </is>
      </c>
      <c r="G39" s="1" t="inlineStr">
        <is>
          <t>(c)Web経費</t>
        </is>
      </c>
      <c r="H39" s="324">
        <f>Q2</f>
        <v/>
      </c>
      <c r="I39" s="10" t="inlineStr">
        <is>
          <t>Web補助額/Web経費</t>
        </is>
      </c>
      <c r="J39" s="273" t="n"/>
      <c r="K39" s="64" t="n"/>
    </row>
    <row r="40">
      <c r="D40" s="62" t="inlineStr">
        <is>
          <t>編集</t>
        </is>
      </c>
      <c r="E40" s="95">
        <f>IF(V2="×","",DBCS(E39) )</f>
        <v/>
      </c>
      <c r="F40" s="82" t="inlineStr">
        <is>
          <t>F40</t>
        </is>
      </c>
      <c r="G40" s="1" t="inlineStr">
        <is>
          <t>(d)Web補助額</t>
        </is>
      </c>
      <c r="H40" s="319">
        <f>H42-H38</f>
        <v/>
      </c>
      <c r="I40" s="325">
        <f>IF(H41=0,"",IF(AND(H39=0,H40=0),0,IF(OR(H39=0,H39=""),"",ROUNDDOWN(H40*100/H39,2))))</f>
        <v/>
      </c>
      <c r="J40" s="1">
        <f>IF(補助事業計画書②!AE17="","",IF(I40="","",TEXT(I40,"##0.00")&amp;"%"))</f>
        <v/>
      </c>
      <c r="K40" s="64" t="n"/>
    </row>
    <row r="41">
      <c r="D41" s="127" t="inlineStr">
        <is>
          <t>補助上限額チェック</t>
        </is>
      </c>
      <c r="E41" s="0">
        <f>IF(AND(補助事業計画書②!AO6&gt;=1,補助事業計画書②!AO6&lt;=2500000),"○","×(補助上限額（通常は200万円・ｲﾝﾎﾞｲｽ特例は250万円まで）を入力してください。)")</f>
        <v/>
      </c>
      <c r="F41" s="82" t="inlineStr">
        <is>
          <t>F41</t>
        </is>
      </c>
      <c r="G41" s="57" t="inlineStr">
        <is>
          <t>(e)経費合計</t>
        </is>
      </c>
      <c r="H41" s="324">
        <f>D2</f>
        <v/>
      </c>
      <c r="I41" s="10" t="inlineStr">
        <is>
          <t>Web補助額/補助額計</t>
        </is>
      </c>
      <c r="J41" s="273" t="n"/>
      <c r="K41" s="64" t="n"/>
    </row>
    <row r="42">
      <c r="D42" s="62" t="n"/>
      <c r="F42" s="82" t="inlineStr">
        <is>
          <t>F42</t>
        </is>
      </c>
      <c r="G42" s="1" t="inlineStr">
        <is>
          <t>(f)補助額合計</t>
        </is>
      </c>
      <c r="H42" s="324">
        <f>H2</f>
        <v/>
      </c>
      <c r="I42" s="325">
        <f>IF(H41=0,"",IF(H40=0,0,IF(OR(H42=0,H42="",H39=0,H39=""),"",ROUNDDOWN(H40*100/H42,2))))</f>
        <v/>
      </c>
      <c r="J42" s="1">
        <f>IF(補助事業計画書②!AE17="","",IF(I42="","",TEXT(I42,"##0.00") &amp; "%"))</f>
        <v/>
      </c>
      <c r="K42" s="64" t="n"/>
    </row>
    <row r="43">
      <c r="D43" s="68" t="n"/>
      <c r="E43" s="76" t="n"/>
      <c r="F43" s="76" t="n"/>
      <c r="G43" s="76" t="n"/>
      <c r="H43" s="76" t="n"/>
      <c r="I43" s="76" t="n"/>
      <c r="J43" s="76" t="n"/>
      <c r="K43" s="71" t="n"/>
    </row>
    <row r="44">
      <c r="D44" s="59" t="n"/>
      <c r="E44" s="60" t="n"/>
      <c r="F44" s="60" t="n"/>
      <c r="G44" s="60" t="n"/>
      <c r="H44" s="60" t="n"/>
      <c r="I44" s="60" t="n"/>
      <c r="J44" s="60" t="n"/>
      <c r="K44" s="61" t="n"/>
    </row>
    <row r="45">
      <c r="D45" s="78" t="inlineStr">
        <is>
          <t>コメント(表示用)</t>
        </is>
      </c>
      <c r="K45" s="64" t="n"/>
    </row>
    <row r="46">
      <c r="D46" s="96" t="inlineStr">
        <is>
          <t>１円加算</t>
        </is>
      </c>
      <c r="E46" s="95">
        <f>IF(J22=0,"","※")</f>
        <v/>
      </c>
      <c r="K46" s="64" t="n"/>
    </row>
    <row r="47">
      <c r="D47" s="78" t="n"/>
      <c r="K47" s="64" t="n"/>
    </row>
    <row r="48">
      <c r="D48" s="62" t="inlineStr">
        <is>
          <t>以外０円</t>
        </is>
      </c>
      <c r="E48" s="95">
        <f>IF(F16=0,"",IF(F12=0,"ウェブサイト関連費のみでの申請はできません",""))</f>
        <v/>
      </c>
      <c r="K48" s="64" t="n"/>
    </row>
    <row r="49">
      <c r="D49" s="62" t="inlineStr">
        <is>
          <t>設備処分費1/2超</t>
        </is>
      </c>
      <c r="E49" s="95">
        <f>IF(U2="○","","設備処分費が、(5)補助対象経費合計の1/2を超えています")</f>
        <v/>
      </c>
      <c r="K49" s="64" t="n"/>
    </row>
    <row r="50">
      <c r="D50" s="62" t="n"/>
      <c r="K50" s="64" t="n"/>
    </row>
    <row r="51">
      <c r="D51" s="62" t="n"/>
      <c r="K51" s="64" t="n"/>
    </row>
    <row r="52">
      <c r="D52" s="62" t="n"/>
      <c r="K52" s="64" t="n"/>
    </row>
    <row r="53">
      <c r="D53" s="62" t="n"/>
      <c r="K53" s="64" t="n"/>
    </row>
    <row r="54">
      <c r="D54" s="62" t="n"/>
      <c r="K54" s="64" t="n"/>
    </row>
    <row r="55">
      <c r="D55" s="105" t="n"/>
      <c r="E55" s="106" t="n"/>
      <c r="F55" s="106" t="n"/>
      <c r="G55" s="106" t="n"/>
      <c r="H55" s="106" t="n"/>
      <c r="I55" s="106" t="n"/>
      <c r="J55" s="106" t="n"/>
      <c r="K55" s="107" t="n"/>
    </row>
    <row r="56">
      <c r="D56" s="108" t="inlineStr">
        <is>
          <t>Ⅲ．資金調達方法【必須記入】</t>
        </is>
      </c>
      <c r="E56" s="104" t="n"/>
      <c r="F56" s="104" t="n"/>
      <c r="G56" s="104" t="n"/>
      <c r="H56" s="104" t="n"/>
      <c r="I56" s="104" t="n"/>
      <c r="J56" s="104" t="n"/>
      <c r="K56" s="109" t="n"/>
    </row>
    <row r="57">
      <c r="D57" s="114">
        <f>IF(補助事業計画書②!G38=補助事業計画書②!AE20,"〇","×")</f>
        <v/>
      </c>
      <c r="E57" s="104" t="n"/>
      <c r="F57" s="104" t="n"/>
      <c r="G57" s="104" t="n"/>
      <c r="H57" s="104" t="n"/>
      <c r="I57" s="104" t="n"/>
      <c r="J57" s="104" t="n"/>
      <c r="K57" s="109" t="n"/>
    </row>
    <row r="58">
      <c r="D58" s="110" t="n"/>
      <c r="E58" s="104" t="n"/>
      <c r="F58" s="104" t="n"/>
      <c r="G58" s="104" t="n"/>
      <c r="H58" s="104" t="n"/>
      <c r="I58" s="104" t="n"/>
      <c r="J58" s="104" t="n"/>
      <c r="K58" s="109" t="n"/>
    </row>
    <row r="59">
      <c r="D59" s="110" t="n"/>
      <c r="E59" s="104" t="n"/>
      <c r="F59" s="104" t="n"/>
      <c r="G59" s="104" t="n"/>
      <c r="H59" s="104" t="n"/>
      <c r="I59" s="104" t="n"/>
      <c r="J59" s="104" t="n"/>
      <c r="K59" s="109" t="n"/>
    </row>
    <row r="60">
      <c r="D60" s="111" t="n"/>
      <c r="E60" s="112" t="n"/>
      <c r="F60" s="112" t="n"/>
      <c r="G60" s="112" t="n"/>
      <c r="H60" s="112" t="n"/>
      <c r="I60" s="112" t="n"/>
      <c r="J60" s="112" t="n"/>
      <c r="K60" s="113" t="n"/>
    </row>
  </sheetData>
  <mergeCells count="11">
    <mergeCell ref="F12:F14"/>
    <mergeCell ref="O11:O20"/>
    <mergeCell ref="I41:J41"/>
    <mergeCell ref="F16:F18"/>
    <mergeCell ref="G20:G22"/>
    <mergeCell ref="I37:J37"/>
    <mergeCell ref="E11:E14"/>
    <mergeCell ref="E15:E18"/>
    <mergeCell ref="I39:J39"/>
    <mergeCell ref="I36:J36"/>
    <mergeCell ref="H28:H33"/>
  </mergeCells>
  <dataValidations disablePrompts="1" count="1">
    <dataValidation sqref="E29 E31 E33:E34" showDropDown="0" showInputMessage="1" showErrorMessage="1" allowBlank="1" promptTitle="自動判定されます" prompt="計算式が入力してありますので自動判定されます"/>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2020-03-24T00:10:15Z</dcterms:created>
  <dcterms:modified xmlns:dcterms="http://purl.org/dc/terms/" xmlns:xsi="http://www.w3.org/2001/XMLSchema-instance" xsi:type="dcterms:W3CDTF">2025-10-22T13:50:09Z</dcterms:modified>
  <cp:lastModifiedBy>JBD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0x010100FFD41EF7EF2E044D8BAE6BEACF7D4785</vt:lpwstr>
  </property>
  <property name="MediaServiceImageTags" fmtid="{D5CDD505-2E9C-101B-9397-08002B2CF9AE}" pid="3">
    <vt:lpwstr xmlns:vt="http://schemas.openxmlformats.org/officeDocument/2006/docPropsVTypes"/>
  </property>
</Properties>
</file>